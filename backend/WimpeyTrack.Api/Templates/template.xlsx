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rossfleming/Projects/wimpey-track/backend/WimpeyTrack.Api/Templates/"/>
    </mc:Choice>
  </mc:AlternateContent>
  <xr:revisionPtr revIDLastSave="0" documentId="13_ncr:1_{8326FBC8-9467-CC40-B2C1-BFDCA25F3F08}" xr6:coauthVersionLast="47" xr6:coauthVersionMax="47" xr10:uidLastSave="{00000000-0000-0000-0000-000000000000}"/>
  <bookViews>
    <workbookView xWindow="0" yWindow="620" windowWidth="25600" windowHeight="26620" tabRatio="500" activeTab="3" xr2:uid="{00000000-000D-0000-FFFF-FFFF00000000}"/>
  </bookViews>
  <sheets>
    <sheet name="Expense Claim Form " sheetId="1" r:id="rId1"/>
    <sheet name="Expense Form Extra Rows" sheetId="2" r:id="rId2"/>
    <sheet name="Mileage Detail" sheetId="3" r:id="rId3"/>
    <sheet name="Mileage Detail Extra Rows" sheetId="4" r:id="rId4"/>
    <sheet name="Instructions OLD" sheetId="5" state="hidden" r:id="rId5"/>
    <sheet name="Mileage Claim Guide OLD" sheetId="6" state="hidden" r:id="rId6"/>
    <sheet name="Help" sheetId="7" state="hidden" r:id="rId7"/>
    <sheet name="Module1" sheetId="8" state="hidden" r:id="rId8"/>
  </sheets>
  <definedNames>
    <definedName name="csDesignMode">1</definedName>
    <definedName name="Expense_codes" localSheetId="1">'Expense Form Extra Rows'!$E$70:$G$76</definedName>
    <definedName name="Expense_codes">'Expense Claim Form '!$E$72:$G$78</definedName>
    <definedName name="_xlnm.Print_Area" localSheetId="0">'Expense Claim Form '!$A$1:$O$71</definedName>
    <definedName name="_xlnm.Print_Area" localSheetId="1">'Expense Form Extra Rows'!$A$1:$O$69</definedName>
    <definedName name="_xlnm.Print_Area" localSheetId="4">'Instructions OLD'!$A$1:$C$101</definedName>
    <definedName name="_xlnm.Print_Area" localSheetId="2">'Mileage Detail'!$A$1:$M$37</definedName>
    <definedName name="_xlnm.Print_Area" localSheetId="3">'Mileage Detail Extra Rows'!$A$1:$M$36</definedName>
    <definedName name="sub" localSheetId="0">'Expense Claim Form '!$A$40</definedName>
    <definedName name="sub" localSheetId="1">'Expense Form Extra Rows'!#REF!</definedName>
    <definedName name="sub" localSheetId="2">'Mileage Detail'!#REF!</definedName>
    <definedName name="sub" localSheetId="3">'Mileage Detail Extra Rows'!#REF!</definedName>
    <definedName name="sub">#REF!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4" i="1" l="1"/>
  <c r="M5" i="1"/>
  <c r="M6" i="1"/>
  <c r="H12" i="1"/>
  <c r="H13" i="1"/>
  <c r="H14" i="1"/>
  <c r="H15" i="1"/>
  <c r="H16" i="1"/>
  <c r="H17" i="1"/>
  <c r="H18" i="1"/>
  <c r="N14" i="1"/>
  <c r="N15" i="1"/>
  <c r="B2" i="3"/>
  <c r="B2" i="4" s="1"/>
  <c r="C4" i="2"/>
  <c r="H36" i="4"/>
  <c r="E36" i="4"/>
  <c r="K35" i="4"/>
  <c r="I35" i="4"/>
  <c r="J35" i="4" s="1"/>
  <c r="K34" i="4"/>
  <c r="J34" i="4"/>
  <c r="I34" i="4"/>
  <c r="K33" i="4"/>
  <c r="I33" i="4"/>
  <c r="J33" i="4" s="1"/>
  <c r="K32" i="4"/>
  <c r="J32" i="4"/>
  <c r="I32" i="4"/>
  <c r="K31" i="4"/>
  <c r="I31" i="4"/>
  <c r="J31" i="4" s="1"/>
  <c r="K30" i="4"/>
  <c r="J30" i="4"/>
  <c r="I30" i="4"/>
  <c r="K29" i="4"/>
  <c r="I29" i="4"/>
  <c r="J29" i="4" s="1"/>
  <c r="K28" i="4"/>
  <c r="J28" i="4"/>
  <c r="I28" i="4"/>
  <c r="K27" i="4"/>
  <c r="I27" i="4"/>
  <c r="J27" i="4" s="1"/>
  <c r="K26" i="4"/>
  <c r="J26" i="4"/>
  <c r="I26" i="4"/>
  <c r="K25" i="4"/>
  <c r="I25" i="4"/>
  <c r="J25" i="4" s="1"/>
  <c r="K24" i="4"/>
  <c r="J24" i="4"/>
  <c r="I24" i="4"/>
  <c r="K23" i="4"/>
  <c r="I23" i="4"/>
  <c r="J23" i="4" s="1"/>
  <c r="K22" i="4"/>
  <c r="J22" i="4"/>
  <c r="I22" i="4"/>
  <c r="K21" i="4"/>
  <c r="I21" i="4"/>
  <c r="J21" i="4" s="1"/>
  <c r="K20" i="4"/>
  <c r="J20" i="4"/>
  <c r="I20" i="4"/>
  <c r="K19" i="4"/>
  <c r="I19" i="4"/>
  <c r="J19" i="4" s="1"/>
  <c r="K18" i="4"/>
  <c r="J18" i="4"/>
  <c r="I18" i="4"/>
  <c r="K17" i="4"/>
  <c r="I17" i="4"/>
  <c r="J17" i="4" s="1"/>
  <c r="K16" i="4"/>
  <c r="J16" i="4"/>
  <c r="I16" i="4"/>
  <c r="K15" i="4"/>
  <c r="I15" i="4"/>
  <c r="J15" i="4" s="1"/>
  <c r="K14" i="4"/>
  <c r="J14" i="4"/>
  <c r="I14" i="4"/>
  <c r="K13" i="4"/>
  <c r="I13" i="4"/>
  <c r="J13" i="4" s="1"/>
  <c r="K12" i="4"/>
  <c r="J12" i="4"/>
  <c r="I12" i="4"/>
  <c r="K11" i="4"/>
  <c r="I11" i="4"/>
  <c r="J11" i="4" s="1"/>
  <c r="K10" i="4"/>
  <c r="J10" i="4"/>
  <c r="I10" i="4"/>
  <c r="K9" i="4"/>
  <c r="I9" i="4"/>
  <c r="J9" i="4" s="1"/>
  <c r="K8" i="4"/>
  <c r="J8" i="4"/>
  <c r="I8" i="4"/>
  <c r="K7" i="4"/>
  <c r="I7" i="4"/>
  <c r="J7" i="4" s="1"/>
  <c r="K6" i="4"/>
  <c r="K36" i="4" s="1"/>
  <c r="J6" i="4"/>
  <c r="I6" i="4"/>
  <c r="H36" i="3"/>
  <c r="H37" i="3" s="1"/>
  <c r="E36" i="3"/>
  <c r="E37" i="3" s="1"/>
  <c r="B51" i="1" s="1"/>
  <c r="B54" i="1" s="1"/>
  <c r="K35" i="3"/>
  <c r="I35" i="3"/>
  <c r="J35" i="3" s="1"/>
  <c r="K34" i="3"/>
  <c r="I34" i="3"/>
  <c r="J34" i="3" s="1"/>
  <c r="K33" i="3"/>
  <c r="I33" i="3"/>
  <c r="J33" i="3" s="1"/>
  <c r="K32" i="3"/>
  <c r="I32" i="3"/>
  <c r="J32" i="3" s="1"/>
  <c r="K31" i="3"/>
  <c r="I31" i="3"/>
  <c r="J31" i="3" s="1"/>
  <c r="K30" i="3"/>
  <c r="I30" i="3"/>
  <c r="J30" i="3" s="1"/>
  <c r="K29" i="3"/>
  <c r="I29" i="3"/>
  <c r="J29" i="3" s="1"/>
  <c r="K28" i="3"/>
  <c r="I28" i="3"/>
  <c r="J28" i="3" s="1"/>
  <c r="K27" i="3"/>
  <c r="I27" i="3"/>
  <c r="J27" i="3" s="1"/>
  <c r="K26" i="3"/>
  <c r="I26" i="3"/>
  <c r="J26" i="3" s="1"/>
  <c r="K25" i="3"/>
  <c r="I25" i="3"/>
  <c r="J25" i="3" s="1"/>
  <c r="K24" i="3"/>
  <c r="I24" i="3"/>
  <c r="J24" i="3" s="1"/>
  <c r="K23" i="3"/>
  <c r="I23" i="3"/>
  <c r="J23" i="3" s="1"/>
  <c r="K22" i="3"/>
  <c r="I22" i="3"/>
  <c r="J22" i="3" s="1"/>
  <c r="K21" i="3"/>
  <c r="I21" i="3"/>
  <c r="J21" i="3" s="1"/>
  <c r="K20" i="3"/>
  <c r="I20" i="3"/>
  <c r="J20" i="3" s="1"/>
  <c r="K19" i="3"/>
  <c r="I19" i="3"/>
  <c r="J19" i="3" s="1"/>
  <c r="K18" i="3"/>
  <c r="I18" i="3"/>
  <c r="J18" i="3" s="1"/>
  <c r="K17" i="3"/>
  <c r="I17" i="3"/>
  <c r="J17" i="3" s="1"/>
  <c r="K16" i="3"/>
  <c r="I16" i="3"/>
  <c r="J16" i="3" s="1"/>
  <c r="K15" i="3"/>
  <c r="I15" i="3"/>
  <c r="J15" i="3" s="1"/>
  <c r="K14" i="3"/>
  <c r="I14" i="3"/>
  <c r="J14" i="3" s="1"/>
  <c r="K13" i="3"/>
  <c r="I13" i="3"/>
  <c r="J13" i="3" s="1"/>
  <c r="K12" i="3"/>
  <c r="I12" i="3"/>
  <c r="J12" i="3" s="1"/>
  <c r="K11" i="3"/>
  <c r="I11" i="3"/>
  <c r="J11" i="3" s="1"/>
  <c r="K10" i="3"/>
  <c r="I10" i="3"/>
  <c r="J10" i="3" s="1"/>
  <c r="K9" i="3"/>
  <c r="I9" i="3"/>
  <c r="J9" i="3" s="1"/>
  <c r="K8" i="3"/>
  <c r="I8" i="3"/>
  <c r="J8" i="3" s="1"/>
  <c r="K7" i="3"/>
  <c r="I7" i="3"/>
  <c r="J7" i="3" s="1"/>
  <c r="K6" i="3"/>
  <c r="I6" i="3"/>
  <c r="J6" i="3" s="1"/>
  <c r="M75" i="2"/>
  <c r="K68" i="2"/>
  <c r="N66" i="2"/>
  <c r="M66" i="2"/>
  <c r="L66" i="2"/>
  <c r="J66" i="2"/>
  <c r="I66" i="2"/>
  <c r="N65" i="2"/>
  <c r="O65" i="2" s="1"/>
  <c r="M65" i="2"/>
  <c r="L65" i="2"/>
  <c r="J65" i="2"/>
  <c r="I65" i="2"/>
  <c r="N64" i="2"/>
  <c r="O64" i="2" s="1"/>
  <c r="M64" i="2"/>
  <c r="L64" i="2"/>
  <c r="J64" i="2"/>
  <c r="I64" i="2"/>
  <c r="N63" i="2"/>
  <c r="O63" i="2" s="1"/>
  <c r="M63" i="2"/>
  <c r="L63" i="2"/>
  <c r="J63" i="2"/>
  <c r="I63" i="2"/>
  <c r="J62" i="2"/>
  <c r="O62" i="2" s="1"/>
  <c r="J61" i="2"/>
  <c r="O61" i="2" s="1"/>
  <c r="N59" i="2"/>
  <c r="N67" i="2" s="1"/>
  <c r="M59" i="2"/>
  <c r="M67" i="2" s="1"/>
  <c r="L59" i="2"/>
  <c r="O59" i="2" s="1"/>
  <c r="J59" i="2"/>
  <c r="J67" i="2" s="1"/>
  <c r="I59" i="2"/>
  <c r="I67" i="2" s="1"/>
  <c r="G52" i="2"/>
  <c r="N51" i="2"/>
  <c r="M51" i="2"/>
  <c r="L51" i="2"/>
  <c r="K51" i="2"/>
  <c r="J51" i="2"/>
  <c r="I51" i="2"/>
  <c r="H51" i="2"/>
  <c r="N50" i="2"/>
  <c r="M50" i="2"/>
  <c r="L50" i="2"/>
  <c r="K50" i="2"/>
  <c r="J50" i="2"/>
  <c r="I50" i="2"/>
  <c r="H50" i="2"/>
  <c r="N49" i="2"/>
  <c r="M49" i="2"/>
  <c r="L49" i="2"/>
  <c r="K49" i="2"/>
  <c r="J49" i="2"/>
  <c r="I49" i="2"/>
  <c r="H49" i="2"/>
  <c r="N48" i="2"/>
  <c r="M48" i="2"/>
  <c r="L48" i="2"/>
  <c r="K48" i="2"/>
  <c r="J48" i="2"/>
  <c r="I48" i="2"/>
  <c r="H48" i="2"/>
  <c r="N47" i="2"/>
  <c r="M47" i="2"/>
  <c r="L47" i="2"/>
  <c r="K47" i="2"/>
  <c r="J47" i="2"/>
  <c r="I47" i="2"/>
  <c r="H47" i="2"/>
  <c r="N46" i="2"/>
  <c r="M46" i="2"/>
  <c r="L46" i="2"/>
  <c r="K46" i="2"/>
  <c r="J46" i="2"/>
  <c r="I46" i="2"/>
  <c r="H46" i="2"/>
  <c r="N45" i="2"/>
  <c r="M45" i="2"/>
  <c r="L45" i="2"/>
  <c r="K45" i="2"/>
  <c r="J45" i="2"/>
  <c r="I45" i="2"/>
  <c r="H45" i="2"/>
  <c r="N44" i="2"/>
  <c r="M44" i="2"/>
  <c r="L44" i="2"/>
  <c r="K44" i="2"/>
  <c r="J44" i="2"/>
  <c r="I44" i="2"/>
  <c r="H44" i="2"/>
  <c r="N43" i="2"/>
  <c r="M43" i="2"/>
  <c r="L43" i="2"/>
  <c r="K43" i="2"/>
  <c r="J43" i="2"/>
  <c r="I43" i="2"/>
  <c r="H43" i="2"/>
  <c r="N42" i="2"/>
  <c r="M42" i="2"/>
  <c r="L42" i="2"/>
  <c r="K42" i="2"/>
  <c r="J42" i="2"/>
  <c r="I42" i="2"/>
  <c r="H42" i="2"/>
  <c r="N41" i="2"/>
  <c r="M41" i="2"/>
  <c r="L41" i="2"/>
  <c r="K41" i="2"/>
  <c r="J41" i="2"/>
  <c r="I41" i="2"/>
  <c r="H41" i="2"/>
  <c r="N40" i="2"/>
  <c r="M40" i="2"/>
  <c r="L40" i="2"/>
  <c r="K40" i="2"/>
  <c r="J40" i="2"/>
  <c r="I40" i="2"/>
  <c r="H40" i="2"/>
  <c r="N39" i="2"/>
  <c r="M39" i="2"/>
  <c r="L39" i="2"/>
  <c r="K39" i="2"/>
  <c r="J39" i="2"/>
  <c r="I39" i="2"/>
  <c r="H39" i="2"/>
  <c r="N38" i="2"/>
  <c r="M38" i="2"/>
  <c r="L38" i="2"/>
  <c r="K38" i="2"/>
  <c r="J38" i="2"/>
  <c r="I38" i="2"/>
  <c r="H38" i="2"/>
  <c r="N37" i="2"/>
  <c r="M37" i="2"/>
  <c r="L37" i="2"/>
  <c r="K37" i="2"/>
  <c r="J37" i="2"/>
  <c r="I37" i="2"/>
  <c r="H37" i="2"/>
  <c r="N36" i="2"/>
  <c r="M36" i="2"/>
  <c r="L36" i="2"/>
  <c r="K36" i="2"/>
  <c r="J36" i="2"/>
  <c r="I36" i="2"/>
  <c r="H36" i="2"/>
  <c r="N35" i="2"/>
  <c r="M35" i="2"/>
  <c r="L35" i="2"/>
  <c r="K35" i="2"/>
  <c r="J35" i="2"/>
  <c r="I35" i="2"/>
  <c r="H35" i="2"/>
  <c r="N34" i="2"/>
  <c r="M34" i="2"/>
  <c r="L34" i="2"/>
  <c r="K34" i="2"/>
  <c r="J34" i="2"/>
  <c r="I34" i="2"/>
  <c r="H34" i="2"/>
  <c r="N33" i="2"/>
  <c r="M33" i="2"/>
  <c r="L33" i="2"/>
  <c r="K33" i="2"/>
  <c r="J33" i="2"/>
  <c r="I33" i="2"/>
  <c r="H33" i="2"/>
  <c r="N32" i="2"/>
  <c r="M32" i="2"/>
  <c r="L32" i="2"/>
  <c r="K32" i="2"/>
  <c r="J32" i="2"/>
  <c r="I32" i="2"/>
  <c r="H32" i="2"/>
  <c r="N31" i="2"/>
  <c r="M31" i="2"/>
  <c r="L31" i="2"/>
  <c r="K31" i="2"/>
  <c r="J31" i="2"/>
  <c r="I31" i="2"/>
  <c r="H31" i="2"/>
  <c r="N30" i="2"/>
  <c r="M30" i="2"/>
  <c r="L30" i="2"/>
  <c r="K30" i="2"/>
  <c r="J30" i="2"/>
  <c r="I30" i="2"/>
  <c r="H30" i="2"/>
  <c r="N29" i="2"/>
  <c r="M29" i="2"/>
  <c r="L29" i="2"/>
  <c r="K29" i="2"/>
  <c r="J29" i="2"/>
  <c r="I29" i="2"/>
  <c r="H29" i="2"/>
  <c r="N28" i="2"/>
  <c r="M28" i="2"/>
  <c r="L28" i="2"/>
  <c r="K28" i="2"/>
  <c r="J28" i="2"/>
  <c r="I28" i="2"/>
  <c r="H28" i="2"/>
  <c r="N27" i="2"/>
  <c r="M27" i="2"/>
  <c r="L27" i="2"/>
  <c r="K27" i="2"/>
  <c r="J27" i="2"/>
  <c r="I27" i="2"/>
  <c r="H27" i="2"/>
  <c r="N26" i="2"/>
  <c r="M26" i="2"/>
  <c r="L26" i="2"/>
  <c r="K26" i="2"/>
  <c r="J26" i="2"/>
  <c r="I26" i="2"/>
  <c r="H26" i="2"/>
  <c r="N25" i="2"/>
  <c r="M25" i="2"/>
  <c r="L25" i="2"/>
  <c r="K25" i="2"/>
  <c r="J25" i="2"/>
  <c r="I25" i="2"/>
  <c r="H25" i="2"/>
  <c r="N24" i="2"/>
  <c r="M24" i="2"/>
  <c r="L24" i="2"/>
  <c r="K24" i="2"/>
  <c r="J24" i="2"/>
  <c r="I24" i="2"/>
  <c r="H24" i="2"/>
  <c r="N23" i="2"/>
  <c r="M23" i="2"/>
  <c r="L23" i="2"/>
  <c r="K23" i="2"/>
  <c r="J23" i="2"/>
  <c r="I23" i="2"/>
  <c r="H23" i="2"/>
  <c r="N22" i="2"/>
  <c r="M22" i="2"/>
  <c r="L22" i="2"/>
  <c r="K22" i="2"/>
  <c r="J22" i="2"/>
  <c r="I22" i="2"/>
  <c r="H22" i="2"/>
  <c r="N21" i="2"/>
  <c r="M21" i="2"/>
  <c r="L21" i="2"/>
  <c r="K21" i="2"/>
  <c r="J21" i="2"/>
  <c r="I21" i="2"/>
  <c r="H21" i="2"/>
  <c r="N20" i="2"/>
  <c r="M20" i="2"/>
  <c r="L20" i="2"/>
  <c r="K20" i="2"/>
  <c r="J20" i="2"/>
  <c r="I20" i="2"/>
  <c r="H20" i="2"/>
  <c r="N19" i="2"/>
  <c r="M19" i="2"/>
  <c r="L19" i="2"/>
  <c r="K19" i="2"/>
  <c r="J19" i="2"/>
  <c r="I19" i="2"/>
  <c r="H19" i="2"/>
  <c r="N18" i="2"/>
  <c r="M18" i="2"/>
  <c r="L18" i="2"/>
  <c r="K18" i="2"/>
  <c r="J18" i="2"/>
  <c r="I18" i="2"/>
  <c r="H18" i="2"/>
  <c r="N17" i="2"/>
  <c r="M17" i="2"/>
  <c r="L17" i="2"/>
  <c r="K17" i="2"/>
  <c r="J17" i="2"/>
  <c r="I17" i="2"/>
  <c r="H17" i="2"/>
  <c r="N16" i="2"/>
  <c r="M16" i="2"/>
  <c r="M52" i="2" s="1"/>
  <c r="M40" i="1" s="1"/>
  <c r="L16" i="2"/>
  <c r="K16" i="2"/>
  <c r="J16" i="2"/>
  <c r="I16" i="2"/>
  <c r="H16" i="2"/>
  <c r="N15" i="2"/>
  <c r="M15" i="2"/>
  <c r="L15" i="2"/>
  <c r="K15" i="2"/>
  <c r="J15" i="2"/>
  <c r="I15" i="2"/>
  <c r="H15" i="2"/>
  <c r="N14" i="2"/>
  <c r="M14" i="2"/>
  <c r="L14" i="2"/>
  <c r="K14" i="2"/>
  <c r="J14" i="2"/>
  <c r="I14" i="2"/>
  <c r="H14" i="2"/>
  <c r="N13" i="2"/>
  <c r="M13" i="2"/>
  <c r="L13" i="2"/>
  <c r="K13" i="2"/>
  <c r="J13" i="2"/>
  <c r="I13" i="2"/>
  <c r="H13" i="2"/>
  <c r="N12" i="2"/>
  <c r="N52" i="2" s="1"/>
  <c r="N40" i="1" s="1"/>
  <c r="M12" i="2"/>
  <c r="L12" i="2"/>
  <c r="L52" i="2" s="1"/>
  <c r="L40" i="1" s="1"/>
  <c r="K12" i="2"/>
  <c r="K52" i="2" s="1"/>
  <c r="J12" i="2"/>
  <c r="J52" i="2" s="1"/>
  <c r="J40" i="1" s="1"/>
  <c r="I12" i="2"/>
  <c r="I52" i="2" s="1"/>
  <c r="I40" i="1" s="1"/>
  <c r="H12" i="2"/>
  <c r="H52" i="2" s="1"/>
  <c r="H40" i="1" s="1"/>
  <c r="N6" i="2"/>
  <c r="M6" i="2"/>
  <c r="I6" i="2"/>
  <c r="E6" i="2"/>
  <c r="C6" i="2"/>
  <c r="M5" i="2"/>
  <c r="M4" i="2"/>
  <c r="M77" i="1"/>
  <c r="N41" i="1"/>
  <c r="M41" i="1"/>
  <c r="L41" i="1"/>
  <c r="K41" i="1"/>
  <c r="J41" i="1"/>
  <c r="I41" i="1"/>
  <c r="H41" i="1"/>
  <c r="N38" i="1"/>
  <c r="M38" i="1"/>
  <c r="L38" i="1"/>
  <c r="K38" i="1"/>
  <c r="I38" i="1"/>
  <c r="N37" i="1"/>
  <c r="M37" i="1"/>
  <c r="L37" i="1"/>
  <c r="K37" i="1"/>
  <c r="I37" i="1"/>
  <c r="E37" i="1"/>
  <c r="I53" i="1" s="1"/>
  <c r="N36" i="1"/>
  <c r="M36" i="1"/>
  <c r="L36" i="1"/>
  <c r="K36" i="1"/>
  <c r="J36" i="1"/>
  <c r="I36" i="1"/>
  <c r="H36" i="1"/>
  <c r="N35" i="1"/>
  <c r="M35" i="1"/>
  <c r="L35" i="1"/>
  <c r="K35" i="1"/>
  <c r="J35" i="1"/>
  <c r="I35" i="1"/>
  <c r="H35" i="1"/>
  <c r="N34" i="1"/>
  <c r="M34" i="1"/>
  <c r="L34" i="1"/>
  <c r="K34" i="1"/>
  <c r="J34" i="1"/>
  <c r="I34" i="1"/>
  <c r="H34" i="1"/>
  <c r="N33" i="1"/>
  <c r="M33" i="1"/>
  <c r="L33" i="1"/>
  <c r="K33" i="1"/>
  <c r="J33" i="1"/>
  <c r="I33" i="1"/>
  <c r="H33" i="1"/>
  <c r="N32" i="1"/>
  <c r="M32" i="1"/>
  <c r="L32" i="1"/>
  <c r="K32" i="1"/>
  <c r="J32" i="1"/>
  <c r="I32" i="1"/>
  <c r="H32" i="1"/>
  <c r="N31" i="1"/>
  <c r="M31" i="1"/>
  <c r="L31" i="1"/>
  <c r="K31" i="1"/>
  <c r="J31" i="1"/>
  <c r="I31" i="1"/>
  <c r="H31" i="1"/>
  <c r="N30" i="1"/>
  <c r="M30" i="1"/>
  <c r="L30" i="1"/>
  <c r="K30" i="1"/>
  <c r="J30" i="1"/>
  <c r="I30" i="1"/>
  <c r="H30" i="1"/>
  <c r="N29" i="1"/>
  <c r="M29" i="1"/>
  <c r="L29" i="1"/>
  <c r="K29" i="1"/>
  <c r="J29" i="1"/>
  <c r="I29" i="1"/>
  <c r="H29" i="1"/>
  <c r="N28" i="1"/>
  <c r="M28" i="1"/>
  <c r="L28" i="1"/>
  <c r="K28" i="1"/>
  <c r="J28" i="1"/>
  <c r="I28" i="1"/>
  <c r="H28" i="1"/>
  <c r="N27" i="1"/>
  <c r="M27" i="1"/>
  <c r="L27" i="1"/>
  <c r="K27" i="1"/>
  <c r="J27" i="1"/>
  <c r="I27" i="1"/>
  <c r="H27" i="1"/>
  <c r="N26" i="1"/>
  <c r="M26" i="1"/>
  <c r="L26" i="1"/>
  <c r="K26" i="1"/>
  <c r="J26" i="1"/>
  <c r="I26" i="1"/>
  <c r="H26" i="1"/>
  <c r="N25" i="1"/>
  <c r="M25" i="1"/>
  <c r="L25" i="1"/>
  <c r="K25" i="1"/>
  <c r="J25" i="1"/>
  <c r="I25" i="1"/>
  <c r="H25" i="1"/>
  <c r="N24" i="1"/>
  <c r="M24" i="1"/>
  <c r="L24" i="1"/>
  <c r="K24" i="1"/>
  <c r="J24" i="1"/>
  <c r="I24" i="1"/>
  <c r="H24" i="1"/>
  <c r="N23" i="1"/>
  <c r="M23" i="1"/>
  <c r="L23" i="1"/>
  <c r="K23" i="1"/>
  <c r="J23" i="1"/>
  <c r="I23" i="1"/>
  <c r="H23" i="1"/>
  <c r="N22" i="1"/>
  <c r="M22" i="1"/>
  <c r="L22" i="1"/>
  <c r="K22" i="1"/>
  <c r="J22" i="1"/>
  <c r="I22" i="1"/>
  <c r="H22" i="1"/>
  <c r="N21" i="1"/>
  <c r="M21" i="1"/>
  <c r="L21" i="1"/>
  <c r="K21" i="1"/>
  <c r="J21" i="1"/>
  <c r="I21" i="1"/>
  <c r="H21" i="1"/>
  <c r="N20" i="1"/>
  <c r="M20" i="1"/>
  <c r="L20" i="1"/>
  <c r="K20" i="1"/>
  <c r="J20" i="1"/>
  <c r="I20" i="1"/>
  <c r="H20" i="1"/>
  <c r="N19" i="1"/>
  <c r="M19" i="1"/>
  <c r="L19" i="1"/>
  <c r="K19" i="1"/>
  <c r="J19" i="1"/>
  <c r="I19" i="1"/>
  <c r="H19" i="1"/>
  <c r="N18" i="1"/>
  <c r="M18" i="1"/>
  <c r="L18" i="1"/>
  <c r="K18" i="1"/>
  <c r="J18" i="1"/>
  <c r="I18" i="1"/>
  <c r="M17" i="1"/>
  <c r="L17" i="1"/>
  <c r="K17" i="1"/>
  <c r="J17" i="1"/>
  <c r="I17" i="1"/>
  <c r="N17" i="1"/>
  <c r="N16" i="1"/>
  <c r="M16" i="1"/>
  <c r="L16" i="1"/>
  <c r="K16" i="1"/>
  <c r="J16" i="1"/>
  <c r="I16" i="1"/>
  <c r="M15" i="1"/>
  <c r="L15" i="1"/>
  <c r="K15" i="1"/>
  <c r="J15" i="1"/>
  <c r="I15" i="1"/>
  <c r="M14" i="1"/>
  <c r="L14" i="1"/>
  <c r="K14" i="1"/>
  <c r="J14" i="1"/>
  <c r="I14" i="1"/>
  <c r="N13" i="1"/>
  <c r="M13" i="1"/>
  <c r="L13" i="1"/>
  <c r="K13" i="1"/>
  <c r="J13" i="1"/>
  <c r="I13" i="1"/>
  <c r="N12" i="1"/>
  <c r="M12" i="1"/>
  <c r="L12" i="1"/>
  <c r="K12" i="1"/>
  <c r="J12" i="1"/>
  <c r="I12" i="1"/>
  <c r="N6" i="1"/>
  <c r="N56" i="1" l="1"/>
  <c r="K37" i="3"/>
  <c r="M42" i="1"/>
  <c r="L42" i="1"/>
  <c r="B44" i="1"/>
  <c r="H37" i="1"/>
  <c r="G37" i="1"/>
  <c r="J36" i="4"/>
  <c r="J36" i="3" s="1"/>
  <c r="J37" i="3" s="1"/>
  <c r="G38" i="1" s="1"/>
  <c r="I42" i="1"/>
  <c r="N42" i="1"/>
  <c r="K66" i="2"/>
  <c r="K67" i="2" s="1"/>
  <c r="K40" i="1"/>
  <c r="K42" i="1" s="1"/>
  <c r="I49" i="1"/>
  <c r="I56" i="1"/>
  <c r="L53" i="1"/>
  <c r="J54" i="1"/>
  <c r="J55" i="1"/>
  <c r="J56" i="1"/>
  <c r="K58" i="1"/>
  <c r="I54" i="1"/>
  <c r="M53" i="1"/>
  <c r="L54" i="1"/>
  <c r="L55" i="1"/>
  <c r="L67" i="2"/>
  <c r="J53" i="1"/>
  <c r="L56" i="1"/>
  <c r="L49" i="1"/>
  <c r="M49" i="1"/>
  <c r="M54" i="1"/>
  <c r="M56" i="1"/>
  <c r="I55" i="1"/>
  <c r="N53" i="1"/>
  <c r="M55" i="1"/>
  <c r="N49" i="1"/>
  <c r="N54" i="1"/>
  <c r="N55" i="1"/>
  <c r="G40" i="1"/>
  <c r="L57" i="1" l="1"/>
  <c r="K56" i="1"/>
  <c r="K57" i="1" s="1"/>
  <c r="N57" i="1"/>
  <c r="M57" i="1"/>
  <c r="O53" i="1"/>
  <c r="O55" i="1"/>
  <c r="O66" i="2"/>
  <c r="J37" i="1"/>
  <c r="J51" i="1" s="1"/>
  <c r="O51" i="1" s="1"/>
  <c r="G42" i="1"/>
  <c r="I57" i="1"/>
  <c r="O56" i="1"/>
  <c r="H38" i="1"/>
  <c r="H42" i="1" s="1"/>
  <c r="G55" i="2"/>
  <c r="O54" i="1"/>
  <c r="J38" i="1" l="1"/>
  <c r="J49" i="1" s="1"/>
  <c r="G45" i="1"/>
  <c r="J52" i="1"/>
  <c r="O52" i="1" s="1"/>
  <c r="J42" i="1" l="1"/>
  <c r="J57" i="1"/>
  <c r="O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71" authorId="0" shapeId="0" xr:uid="{00000000-0006-0000-0100-000001000000}">
      <text>
        <r>
          <rPr>
            <sz val="10"/>
            <rFont val="Arial"/>
            <family val="2"/>
          </rPr>
          <t>VAT Rate.
The VAT rate is shown in cell G64. Changing the rate in this cell will change all VAT calculations on the expense form.</t>
        </r>
      </text>
    </comment>
  </commentList>
</comments>
</file>

<file path=xl/sharedStrings.xml><?xml version="1.0" encoding="utf-8"?>
<sst xmlns="http://schemas.openxmlformats.org/spreadsheetml/2006/main" count="347" uniqueCount="208">
  <si>
    <t>EXPENSES CLAIM FORM  (Use for expenditure incurred from 1 December 2014)</t>
  </si>
  <si>
    <t>NAME</t>
  </si>
  <si>
    <t>BUSINESS UNIT</t>
  </si>
  <si>
    <t>DEPT/SITE NAME</t>
  </si>
  <si>
    <t>FUEL TYPE</t>
  </si>
  <si>
    <t>CLAIM DATE</t>
  </si>
  <si>
    <t>FINANCE USE ONLY</t>
  </si>
  <si>
    <t>ENGINE CC</t>
  </si>
  <si>
    <t>STAFF NO</t>
  </si>
  <si>
    <t>VEHICLE REG.</t>
  </si>
  <si>
    <t>EXPENSE CODE</t>
  </si>
  <si>
    <t>DATE</t>
  </si>
  <si>
    <t>FULL DETAILS OF EXPENSE                                                                                                                                        (including details of location/site/office visited, reason for travel by means other than by car; details of items purchased; reasons for entertainment &amp; guests' names and employers)</t>
  </si>
  <si>
    <t>VAT CODE</t>
  </si>
  <si>
    <t xml:space="preserve">RECEIPT ATTACHED </t>
  </si>
  <si>
    <t>TOTAL AMOUNT CLAIMED</t>
  </si>
  <si>
    <t>VAT 
(see notes)</t>
  </si>
  <si>
    <t>SUBSISTENCE (see notes)</t>
  </si>
  <si>
    <t>TRAVEL
(see notes)</t>
  </si>
  <si>
    <t>BUSINESS ENTERTAINMENT (inc VAT)
(see notes)</t>
  </si>
  <si>
    <t>STAFF ENTERTAINMENT (ex VAT)
(see notes)</t>
  </si>
  <si>
    <t>PROF SUBS      
(see notes)</t>
  </si>
  <si>
    <t>OTHER EXPENSES (see notes)</t>
  </si>
  <si>
    <t>PSA ITEM</t>
  </si>
  <si>
    <t>Expense Detail</t>
  </si>
  <si>
    <t>Reason for Expense</t>
  </si>
  <si>
    <t>Yes/No</t>
  </si>
  <si>
    <t>£</t>
  </si>
  <si>
    <t>T</t>
  </si>
  <si>
    <t>Mileage converted to monetary amount</t>
  </si>
  <si>
    <t>Passenger mileage converted to monetary amount (will always be P10)</t>
  </si>
  <si>
    <t>P10</t>
  </si>
  <si>
    <t>Brought forward from Extra Rows sheet</t>
  </si>
  <si>
    <t>TOTAL AMOUNT OF EXPENSES CLAIMED  £</t>
  </si>
  <si>
    <t>ALLOCATION CODES</t>
  </si>
  <si>
    <t>VARIOUS</t>
  </si>
  <si>
    <t>NET AMOUNT</t>
  </si>
  <si>
    <t>OFFICE</t>
  </si>
  <si>
    <t>VAT Net Amounts</t>
  </si>
  <si>
    <t>SALES</t>
  </si>
  <si>
    <t>91265 / 91285</t>
  </si>
  <si>
    <t>Mileage brought forward from Mileage Detail sheets:</t>
  </si>
  <si>
    <t>SITE</t>
  </si>
  <si>
    <t>Over 10,000 miles</t>
  </si>
  <si>
    <t>YES</t>
  </si>
  <si>
    <t xml:space="preserve">Select "YES" only if you have claimed over 10,000 business miles in a tax year AND 
you don’t have a company car or car allowance. Otherwise leave as "NO".
</t>
  </si>
  <si>
    <t>(Office Use Only)</t>
  </si>
  <si>
    <t>P61</t>
  </si>
  <si>
    <t>Number of Miles</t>
  </si>
  <si>
    <t xml:space="preserve">Please enter appropriate mileage rate based on type of vehicle.
Company car drivers/car allowance recipients should refer to HMRC advisory rates (see below for link).
Non company car drivers should refer to rates on the Mileage Claim Guide tab.                                                                                                                                                                                   </t>
  </si>
  <si>
    <t>VAT CODE ANALYSIS</t>
  </si>
  <si>
    <t>P99</t>
  </si>
  <si>
    <t>P98</t>
  </si>
  <si>
    <t>£0.xx rate per mile</t>
  </si>
  <si>
    <t>P30</t>
  </si>
  <si>
    <t>Total claim</t>
  </si>
  <si>
    <t>https://www.gov.uk/government/publications/advisory-fuel-rates/current-rates</t>
  </si>
  <si>
    <t>P01</t>
  </si>
  <si>
    <t>P32</t>
  </si>
  <si>
    <t>TOTAL</t>
  </si>
  <si>
    <t>FOR OFFICE USE ONLY</t>
  </si>
  <si>
    <t xml:space="preserve">                       I certify this is a correct statement of expense incurred by me wholly and necessarily on company business</t>
  </si>
  <si>
    <t>Authorisation is in line with the Business Unit's delegated authorities</t>
  </si>
  <si>
    <t>Processed by Finance</t>
  </si>
  <si>
    <t>SIGNED</t>
  </si>
  <si>
    <t>CHECKED BY</t>
  </si>
  <si>
    <t>Line Manager</t>
  </si>
  <si>
    <t>AUTHORISED</t>
  </si>
  <si>
    <t>FOR PAYMENT</t>
  </si>
  <si>
    <t>Director</t>
  </si>
  <si>
    <t>RECEIPT</t>
  </si>
  <si>
    <t>VAT CODE SUMMARY</t>
  </si>
  <si>
    <t>Expense codes</t>
  </si>
  <si>
    <t>S</t>
  </si>
  <si>
    <t>Subsistence (including hotels)</t>
  </si>
  <si>
    <t>20% rate recoverable</t>
  </si>
  <si>
    <t>Travel</t>
  </si>
  <si>
    <t>NO</t>
  </si>
  <si>
    <t>Higher Mileage Rate - up to 10,000 miles</t>
  </si>
  <si>
    <t>E</t>
  </si>
  <si>
    <t>Business Entertaining</t>
  </si>
  <si>
    <t>Lower Mileage Rate - over 10,000 miles</t>
  </si>
  <si>
    <t>ES</t>
  </si>
  <si>
    <t>Staff Entertaining</t>
  </si>
  <si>
    <t>No VAT receipt/VAT Exempt</t>
  </si>
  <si>
    <t>PF</t>
  </si>
  <si>
    <t>Professional subscriptions</t>
  </si>
  <si>
    <t>Zero-rated supply</t>
  </si>
  <si>
    <t>O</t>
  </si>
  <si>
    <t>Other expenses</t>
  </si>
  <si>
    <t>Overseas expenditure / outside the scope of VAT</t>
  </si>
  <si>
    <t>Business entertaining</t>
  </si>
  <si>
    <t>Overseas expenditure / outside of the scope</t>
  </si>
  <si>
    <t>MILEAGE DETAIL</t>
  </si>
  <si>
    <t>NAME:</t>
  </si>
  <si>
    <t>Date of journey</t>
  </si>
  <si>
    <t>Details of journey: start, finish and intermediate points; purpose of journey; and any other relevant facts.</t>
  </si>
  <si>
    <t>Start point postcode</t>
  </si>
  <si>
    <t>Destination point postcode</t>
  </si>
  <si>
    <t>Total number of miles travelled</t>
  </si>
  <si>
    <t>Passenger names</t>
  </si>
  <si>
    <t>Number of passengers</t>
  </si>
  <si>
    <t>Total number of passenger miles travelled</t>
  </si>
  <si>
    <t>Passenger mileage rate
(£)</t>
  </si>
  <si>
    <t>Total passenger miles claimed (£)</t>
  </si>
  <si>
    <t>NB If the journey begins and ends at the same location (eg  your local office), please enter the destination postcode.  Please use separate rows if the journey consisted of several legs.</t>
  </si>
  <si>
    <t>REG NO.</t>
  </si>
  <si>
    <t>MAKE</t>
  </si>
  <si>
    <t>Total miles claimed</t>
  </si>
  <si>
    <t>Electronic Expenses Claim Form Instructions</t>
  </si>
  <si>
    <t>The HR Section of InHouse contains the company expenses policy, and can be accessed via the following link (below):</t>
  </si>
  <si>
    <t>https://taylorwimpey.sharepoint.com/Functions/hr/pages/home.aspx</t>
  </si>
  <si>
    <t>Expense claims should be made monthly in line with the timetable provided by your local Business Unit Finance Department.  Reimbursement will be by BACS or cheque payment.  Payments will be delayed if the expense claim form is submitted late.  Any expense claim form submitted more than 3 months after the expenses were incurred will be rejected unless there are exceptional and extenuating circumstances to justify the delay.  Please bear in mind that delayed expense claims result in significant extra work for processing staff.</t>
  </si>
  <si>
    <t>The attached claim form should be completed as follows:</t>
  </si>
  <si>
    <t>Expense Claim Form</t>
  </si>
  <si>
    <t>1</t>
  </si>
  <si>
    <t>Personal Details</t>
  </si>
  <si>
    <t xml:space="preserve">On the main form enter your name, staff number, business unit and department/site.  </t>
  </si>
  <si>
    <t>If you are using the 'Expense Claim Form Extra Rows' tab, this information will feed through automatically.</t>
  </si>
  <si>
    <t>If claiming mileage, you will need to complete the 'Mileage Detail' tab.  Your fuel type, engine size and car registration number will feed through automatically to the main Expense Claim Form from the 'Mileage Detail' tab.</t>
  </si>
  <si>
    <t>2</t>
  </si>
  <si>
    <t>Date</t>
  </si>
  <si>
    <t>Please include the date on which the expenditure was incurred.</t>
  </si>
  <si>
    <t>3</t>
  </si>
  <si>
    <t>Expense Code</t>
  </si>
  <si>
    <t>An expense code must be entered for the form to automatically populate the relevant columns.  The expense codes are as follows (see point 3 for explanation on VAT code):</t>
  </si>
  <si>
    <t xml:space="preserve">S = Subsistence 
</t>
  </si>
  <si>
    <t>This should be used for all hotel bills and meal costs incurred by TW employees (see also staff entertaining).</t>
  </si>
  <si>
    <t>Where the expenditure is subject to VAT at the standard rate, VAT code P10 should be used.  Please check your invoice/receipt for any zero rated/exempt items such as newspapers or tips/service charges.  These expenses should be shown on separate lines and VAT code P01/P30 should be used.  If you do not have a VAT receipt/invoice, VAT code P30 should be used.</t>
  </si>
  <si>
    <t xml:space="preserve">T = Travel 
</t>
  </si>
  <si>
    <t>This should be used for flights, train tickets, tube tickets, bus fares, taxis, M6 toll fees, bridge crossings, car parking and fuel (but not for car rental).</t>
  </si>
  <si>
    <t xml:space="preserve">VAT code P01 should be used for flights, train tickets, tube tickets and bus fares.  </t>
  </si>
  <si>
    <t xml:space="preserve">VAT code P30 should be used for taxis, unless the taxi company is VAT registered and you are issued with a VAT receipt.  In this case, VAT code P10 should be used. </t>
  </si>
  <si>
    <t xml:space="preserve">VAT code P10 should be used for M6 toll fees.  Where VAT is chargeable on a bridge crossing, VAT code P10 should be used.  Where the bridge crossing is exempt from VAT, VAT code P30 should be used.  If you do not have a VAT receipt, VAT code P30 should be used.  </t>
  </si>
  <si>
    <t xml:space="preserve">VAT code P10 should be used for car parking where the car parking ticket includes a valid VAT registration number.  Where no car parking ticket is issued or it does not contain a valid VAT registration number, VAT code P30 should be used. </t>
  </si>
  <si>
    <t>VAT code P10 should be used for fuel claims.  If you do not have a VAT receipt, VAT code P30 should be used.</t>
  </si>
  <si>
    <t>All mileage claims should also be coded as 'T'.  The VAT code for mileage is dependent on whether or not the claimant has a company car or car allowance:</t>
  </si>
  <si>
    <t>■     Company car users and car allowance holders should use VAT code P10.</t>
  </si>
  <si>
    <t>■     Staff claiming mileage who neither have a company car nor are in receipt of a car allowance should use VAT code P99 or P98.</t>
  </si>
  <si>
    <t>■     It is unlikely that a claimant will have P10, P99 and P98 mileage claims in the same claim period. 
       However, should this occur (eg your status changes and a company car/car allowance is allocated to you), a separate form 
       should be used for each section of the claim.</t>
  </si>
  <si>
    <t>The number of miles claimed for each trip must be entered on the "Mileage Detail" tab to enable the P98 and P99 VAT calculation.</t>
  </si>
  <si>
    <t>For those staff who have neither a company car nor a car allowance all mileage claimed up to 10,000, during any tax year, must be claimed at the higher rate of 45p per mile and all mileage exceeding 10,000, during the same tax year, must be claimed at the lower rate of 25p per mile.</t>
  </si>
  <si>
    <t xml:space="preserve">Please note that car rental should not be coded as 'T' but as 'O'.  VAT code P10 should be used for car rental.  If you do not have a valid VAT receipt, VAT code P30 should be used. </t>
  </si>
  <si>
    <t xml:space="preserve">E = Business Entertaining 
</t>
  </si>
  <si>
    <t>This should be used for events which include non-TW employees.  The names and company of non-TW employees should be included on the expense claim form, as should the purpose of the entertaining.  Prior authorisation should be obtained for use of this code.  VAT code P61 should be used for business entertaining.</t>
  </si>
  <si>
    <t xml:space="preserve">ES = Staff Entertaining </t>
  </si>
  <si>
    <t>This should be used for events held for TW employees.  Claims should include the names of the employees attending and the reason for the event.  Prior authorisation should be obtained for use of this code.  VAT code P10 should be used.  If you do not have a valid VAT receipt, VAT code P30 should be used.
NB  A sandwich lunch to enable a meeting to continue is not staff entertaining.  If the sandwich lunch is for a training course or  a meeting for TW employees only, the expense should be treated as subsistence.  If the meeting includes both TW employees and non-TW employees, the expense should be treated as business entertaining.</t>
  </si>
  <si>
    <t xml:space="preserve">PF = Professional Subscriptions 
</t>
  </si>
  <si>
    <t xml:space="preserve">This code should be used to reclaim professional subscriptions (eg CIOB, CIMA, etc).  VAT code P10/P01 should be used.  If you do not have a valid VAT receipt, VAT code P30 should be used. </t>
  </si>
  <si>
    <t xml:space="preserve">O = Other Expenses 
</t>
  </si>
  <si>
    <t>This covers all other expenditure (eg car hire, car valeting/cleaning, gifts, team building events, clothing, equipment, office supplies, etc).  Where expenses claimed relate to a a gift is claimed please include details of the recipient (employee/non-employee) and a detailed description of the gift.</t>
  </si>
  <si>
    <t>The majority of these expenses will be subject to VAT at the standard rate and VAT code P10 should be used.  Please check your receipt/invoice as the expenses may be a zero-rated or exempt supply.  VAT code P01 should be used for zero-rated supplies and VAT code P30 should be used for exempt supplies.  IIf you do not have a valid VAT receipt/invoice VAT code P30 should be used.</t>
  </si>
  <si>
    <t>Full Details of the Expense</t>
  </si>
  <si>
    <t>Please provide a description of the expense incurred in the 'Expese Detail' column (eg train fare into London).</t>
  </si>
  <si>
    <t>Please provide a reason for the expense incurred in the 'Reason for Expense' column (eg meeting with legal advisors).</t>
  </si>
  <si>
    <t>4</t>
  </si>
  <si>
    <t>VAT Code</t>
  </si>
  <si>
    <t>A VAT code must be entered into the VAT code column for VAT to be calculated.  Please check the bottom section of the form to ensure that there are no VAT warnings.  If there is a VAT warning please check that you have entered the correct VAT code.  The VAT codes, along with some examples, are detailed below:</t>
  </si>
  <si>
    <t>P01 Zero-rated suppy</t>
  </si>
  <si>
    <t>Zero-rated includes items such as flights, train tickets, bus fares, and newspapers.</t>
  </si>
  <si>
    <t>P10 Standard-rated Supply</t>
  </si>
  <si>
    <t>The majority of expenditure incurred will be subject to VAT at the standard rate.  This will include items such as hotel accommodation, meals, hotel bar bills, parking charges, etc.</t>
  </si>
  <si>
    <t>P30 Exempt Supplies</t>
  </si>
  <si>
    <t>This code should be used where the supplier is not VAT-registered (eg small taxi companies, local sandwich shops, etc) or where you do not have a valid VAT receipt/invoice.  A credit/debit card receipt is not a VAT receipt.  To be a valid VAT receipt, it must display a VAT registration number.</t>
  </si>
  <si>
    <t>P99 Higher Mileage Rate</t>
  </si>
  <si>
    <t>TW are able to recover the VAT on mileage claims.  This VAT code should be used made by claimants with neither a company car nor a car allowance for claims up to and including 10,000 miles and should be used in no other circumstances</t>
  </si>
  <si>
    <t>For TW to recover the VAT, sufficient VAT receipts must be attached to cover the VATable element the claim.  
Eg  An employee makes a claim for 100 miles at 45p per mile, of which 12.5p per mile relates to fuel, 2.5p per mile relates to the VAT on the fuel and 30p relates to the wear and tear of the vehicle.  The employee's claim is for £45, but they will only need to provide £12 worth of fuel receipts to enable TW to reclaim the VAT.</t>
  </si>
  <si>
    <t>P98 Lower Mileage Rate</t>
  </si>
  <si>
    <t>TW are able to recover the VAT on mileage claims.  This VAT code should be used made by claimants with neither a company car nor a car allowance for claims up over 10,000 miles and should be used in no other circumstances</t>
  </si>
  <si>
    <t>For TW to recover the VAT, sufficient VAT receipts must be attached to cover the VATable element the claim.  
Eg  An employee makes a claim for 100 miles at 25p per mile, of which 12.5p per mile relates to fuel, 2.5p per mile relates to the VAT on the fuel and 10p relates to the wear and tear of the vehicle.  The employee's claim is for £25, but they will still need to provide £12 worth of fuel receipts to enable TW to reclaim the VAT.</t>
  </si>
  <si>
    <t>P32 Outside the Scope</t>
  </si>
  <si>
    <t>This will mainly relate expenses incurred overseas.</t>
  </si>
  <si>
    <t>P61 - Business Entertaining</t>
  </si>
  <si>
    <t>This VAT code should be used in respect of all expenditure incurred in respect of business entertaining.</t>
  </si>
  <si>
    <t>5</t>
  </si>
  <si>
    <t>Receits</t>
  </si>
  <si>
    <t>If you have a receipt for the item being claimed then please put YES in this column, if you do not have a receipt then please put NO in this column.</t>
  </si>
  <si>
    <t>Please attach all receipts, VAT or otherwise, to the claim form.</t>
  </si>
  <si>
    <t>Please ensure you request a VAT invoice/receipt from the supplier at the time the expenses is incurred.  If you do not obtain a valid VAT receipt/invoice your Business Unit Finance Department will not be able to reclaim VAT incurred and, therefore, may only reimburse you with the net element of your expense claim.</t>
  </si>
  <si>
    <t>6</t>
  </si>
  <si>
    <t>Total Amount Claimed</t>
  </si>
  <si>
    <t>Please include the full amount being claimed (including VAT) in this column.  The form will automatically populate the VAT column based on the VAT codes entered.</t>
  </si>
  <si>
    <t>7</t>
  </si>
  <si>
    <t>Sign Off</t>
  </si>
  <si>
    <t>Once completed, please sign and date your expense claim form and forward it to your line manager for checking.  Once your line manager is satisfied that your expense claim for is correct, they should either authorise it or pass it to the relevant person for authorisation.  It should then be forwarded to the Business Unit Finance Department for processing.</t>
  </si>
  <si>
    <t>Please bear in mind that if the form is incorrect or incomplete, the Business Unit Finance Department may return it to you/the authoriser.  Only complete expense claim forms will be processed.</t>
  </si>
  <si>
    <t>Mileage Claim Guide</t>
  </si>
  <si>
    <t>The HR Section of InHouse contains the mileage claim policy, and can be accessed via the following link (below):</t>
  </si>
  <si>
    <t>Introduction</t>
  </si>
  <si>
    <t>From time to time employees will, as part of their duties, be required to travel from their usual place of work to another office or location.  An employee is permitted to make a mileage claim in respect of the business miles travelled.  The mileage rate claimed is dependent on whether or not the employee is in receipt of a company car/car allowance.  The mileage rate to be claimed should be entered in the relevant box on the Expense Claim Form.</t>
  </si>
  <si>
    <t>In exceptional circumstances, and where prior authorisation has been obtained, some employees are able to make a mileage claim in respect of their home to work travel.  The mileage rate claimed is dependent on whether or not the employee is in receipt of a company car/car allowance.  The mileage rate to be claimed should be entered in the relevant box on the Expense Claim Form.</t>
  </si>
  <si>
    <t>An employee in receipt of a company car or car allowance is reimbursed at the HMRC advisory rates, which are subject to change from time to time.  The current rate can be found by clicking on the link below:</t>
  </si>
  <si>
    <t>http://www.hmrc.gov.uk/cars/advisory_fuel_current.htm</t>
  </si>
  <si>
    <t>Other employees are reimbursed at the HMRC authorised rate of 45p per mile for the first 10,000 miles travelled in any one tax year and 25p per mile thereafter.</t>
  </si>
  <si>
    <t xml:space="preserve">TW is able to recover the VAT element of mileage claims paid to employees but to sufficient VAT receipts must be attached to the expense claim form to cover the VATable element the claim.  </t>
  </si>
  <si>
    <t>Examples</t>
  </si>
  <si>
    <t>Advisory Rate - to be completed</t>
  </si>
  <si>
    <t>An employee makes a claim for 100 miles at 45p per mile, of which 12.5p per mile relates to fuel, 2.5p per mile relates to the VAT on the fuel and 30p relates to the wear and tear of the vehicle.  The employee's claim is for £45, but they will only need to provide £12 worth of fuel receipts to enable TW to reclaim the VAT.</t>
  </si>
  <si>
    <t>An employee makes a claim for 100 miles at 25p per mile, of which 12.5p per mile relates to fuel, 2.5p per mile relates to the VAT on the fuel and 10p relates to the wear and tear of the vehicle.  The employee's claim is for £25, but they will still need to provide £12 worth of fuel receipts to enable TW to reclaim the VAT.</t>
  </si>
  <si>
    <t>Passenger Mileage Rate</t>
  </si>
  <si>
    <t>Where an employee makes a business journey, and has a passenger (who is also a TW employee), they may claim an additional 5p per mile per passenger.  This is known as the passenger mileage rate.</t>
  </si>
  <si>
    <t>In order to claim the passenger mileage rate the employee must have a genuine business reason for having a passenger (eg attending a training course away from their normal place of work, where the payment of the passenger mileage rate represents a cost-saving to the Business Unit).  The passenger mileage rate is not payable in respect of an employee's commute to their normal place of work.  The passsenger must be a TW employee and not a contractor/business contact.</t>
  </si>
  <si>
    <t>Brian Fleming</t>
  </si>
  <si>
    <t>Taylor Wimpey West of Scotland</t>
  </si>
  <si>
    <t>DIESEL</t>
  </si>
  <si>
    <t>SB65 XCW</t>
  </si>
  <si>
    <t>CITREON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</si>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</sst>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_ ;\-0\ "/>
    <numFmt numFmtId="165" formatCode="_-* #,##0.00_-;\-* #,##0.00_-;_-* \-??_-;_-@_-"/>
    <numFmt numFmtId="166" formatCode="dd\-mm\-yy"/>
    <numFmt numFmtId="167" formatCode="#,##0.00_ ;\-#,##0.00\ "/>
    <numFmt numFmtId="168" formatCode="\£#,##0.00"/>
    <numFmt numFmtId="169" formatCode="\£#,##0.00;&quot;-£&quot;#,##0.00"/>
  </numFmts>
  <fonts count="23" x14ac:knownFonts="1">
    <font>
      <sz val="10"/>
      <name val="Arial"/>
      <charset val="1"/>
    </font>
    <font>
      <sz val="11"/>
      <name val="Arial"/>
      <family val="2"/>
      <charset val="1"/>
    </font>
    <font>
      <sz val="10"/>
      <name val="Arial"/>
      <family val="2"/>
      <charset val="1"/>
    </font>
    <font>
      <b/>
      <sz val="10"/>
      <name val="Arial"/>
      <family val="2"/>
      <charset val="1"/>
    </font>
    <font>
      <b/>
      <sz val="10"/>
      <color rgb="FFFF0000"/>
      <name val="Arial"/>
      <family val="2"/>
      <charset val="1"/>
    </font>
    <font>
      <u/>
      <sz val="10"/>
      <color rgb="FF0000FF"/>
      <name val="Arial"/>
      <family val="2"/>
      <charset val="1"/>
    </font>
    <font>
      <b/>
      <u/>
      <sz val="12"/>
      <name val="Arial"/>
      <family val="2"/>
      <charset val="1"/>
    </font>
    <font>
      <b/>
      <sz val="12"/>
      <name val="Arial"/>
      <family val="2"/>
      <charset val="1"/>
    </font>
    <font>
      <sz val="12"/>
      <name val="Arial"/>
      <family val="2"/>
      <charset val="1"/>
    </font>
    <font>
      <sz val="12"/>
      <color rgb="FFFF0000"/>
      <name val="Arial"/>
      <family val="2"/>
      <charset val="1"/>
    </font>
    <font>
      <u/>
      <sz val="10"/>
      <name val="Arial"/>
      <family val="2"/>
      <charset val="1"/>
    </font>
    <font>
      <b/>
      <u/>
      <sz val="10"/>
      <name val="Arial"/>
      <family val="2"/>
      <charset val="1"/>
    </font>
    <font>
      <b/>
      <sz val="14"/>
      <name val="Arial"/>
      <family val="2"/>
      <charset val="1"/>
    </font>
    <font>
      <sz val="14"/>
      <name val="Arial"/>
      <family val="2"/>
      <charset val="1"/>
    </font>
    <font>
      <sz val="16"/>
      <name val="Arial"/>
      <family val="2"/>
      <charset val="1"/>
    </font>
    <font>
      <b/>
      <sz val="16"/>
      <name val="Arial"/>
      <family val="2"/>
      <charset val="1"/>
    </font>
    <font>
      <sz val="18"/>
      <name val="Arial"/>
      <family val="2"/>
      <charset val="1"/>
    </font>
    <font>
      <b/>
      <sz val="18"/>
      <name val="Arial"/>
      <family val="2"/>
      <charset val="1"/>
    </font>
    <font>
      <sz val="10"/>
      <color rgb="FFFF0000"/>
      <name val="Arial"/>
      <family val="2"/>
      <charset val="1"/>
    </font>
    <font>
      <b/>
      <u/>
      <sz val="10"/>
      <color rgb="FF0000FF"/>
      <name val="Arial"/>
      <family val="2"/>
      <charset val="1"/>
    </font>
    <font>
      <u/>
      <sz val="10"/>
      <color rgb="FF800080"/>
      <name val="Arial"/>
      <family val="2"/>
      <charset val="1"/>
    </font>
    <font>
      <b/>
      <u/>
      <sz val="12"/>
      <color rgb="FF800080"/>
      <name val="Arial"/>
      <family val="2"/>
      <charset val="1"/>
    </font>
    <font>
      <sz val="10"/>
      <name val="Arial"/>
      <family val="2"/>
    </font>
  </fonts>
  <fills count="11">
    <fill>
      <patternFill patternType="none"/>
    </fill>
    <fill>
      <patternFill patternType="gray125"/>
    </fill>
    <fill>
      <patternFill patternType="solid">
        <fgColor rgb="FFFFFFFF"/>
        <bgColor rgb="FFFFFFCC"/>
      </patternFill>
    </fill>
    <fill>
      <patternFill patternType="solid">
        <fgColor rgb="FFFFFFCC"/>
        <bgColor rgb="FFFFFFFF"/>
      </patternFill>
    </fill>
    <fill>
      <patternFill patternType="solid">
        <fgColor rgb="FFD9D9D9"/>
        <bgColor rgb="FFC0C0C0"/>
      </patternFill>
    </fill>
    <fill>
      <patternFill patternType="solid">
        <fgColor rgb="FFFFFF00"/>
        <bgColor rgb="FFFFFF00"/>
      </patternFill>
    </fill>
    <fill>
      <patternFill patternType="solid">
        <fgColor rgb="FF808080"/>
        <bgColor rgb="FF969696"/>
      </patternFill>
    </fill>
    <fill>
      <patternFill patternType="solid">
        <fgColor rgb="FFE6B9B8"/>
        <bgColor rgb="FFFFC7CE"/>
      </patternFill>
    </fill>
    <fill>
      <patternFill patternType="solid">
        <fgColor rgb="FFC0C0C0"/>
        <bgColor rgb="FFBFBFBF"/>
      </patternFill>
    </fill>
    <fill>
      <patternFill patternType="solid">
        <fgColor rgb="FFBFBFBF"/>
        <bgColor rgb="FFC0C0C0"/>
      </patternFill>
    </fill>
    <fill>
      <patternFill patternType="solid">
        <fgColor rgb="FFFFFF99"/>
        <bgColor rgb="FFFFFFCC"/>
      </patternFill>
    </fill>
  </fills>
  <borders count="37">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style="thin">
        <color auto="1"/>
      </left>
      <right/>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style="thin">
        <color auto="1"/>
      </left>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5">
    <xf numFmtId="0" fontId="0" fillId="0" borderId="0"/>
    <xf numFmtId="165" fontId="2" fillId="0" borderId="0"/>
    <xf numFmtId="0" fontId="5" fillId="0" borderId="0">
      <alignment vertical="top"/>
      <protection locked="0"/>
    </xf>
    <xf numFmtId="0" fontId="1" fillId="0" borderId="0"/>
    <xf numFmtId="0" fontId="20" fillId="0" borderId="0">
      <alignment vertical="top"/>
      <protection locked="0"/>
    </xf>
  </cellStyleXfs>
  <cellXfs count="224">
    <xf numFmtId="0" fontId="0" fillId="0" borderId="0" xfId="0"/>
    <xf numFmtId="39" fontId="2" fillId="0" borderId="0" xfId="0" applyNumberFormat="1" applyFont="1"/>
    <xf numFmtId="39" fontId="2" fillId="2" borderId="0" xfId="0" applyNumberFormat="1" applyFont="1" applyFill="1"/>
    <xf numFmtId="39" fontId="3" fillId="2" borderId="1" xfId="0" applyNumberFormat="1" applyFont="1" applyFill="1" applyBorder="1"/>
    <xf numFmtId="39" fontId="3" fillId="4" borderId="1" xfId="0" applyNumberFormat="1" applyFont="1" applyFill="1" applyBorder="1" applyAlignment="1">
      <alignment horizontal="center" vertical="center"/>
    </xf>
    <xf numFmtId="39" fontId="3" fillId="0" borderId="0" xfId="0" applyNumberFormat="1" applyFont="1"/>
    <xf numFmtId="39" fontId="3" fillId="2" borderId="1" xfId="0" applyNumberFormat="1" applyFont="1" applyFill="1" applyBorder="1" applyAlignment="1">
      <alignment horizontal="left"/>
    </xf>
    <xf numFmtId="37" fontId="3" fillId="4" borderId="1" xfId="0" applyNumberFormat="1" applyFont="1" applyFill="1" applyBorder="1" applyAlignment="1">
      <alignment horizontal="center" vertical="center"/>
    </xf>
    <xf numFmtId="39" fontId="2" fillId="2" borderId="1" xfId="0" applyNumberFormat="1" applyFont="1" applyFill="1" applyBorder="1" applyAlignment="1">
      <alignment horizontal="center"/>
    </xf>
    <xf numFmtId="39" fontId="3" fillId="2" borderId="1" xfId="0" applyNumberFormat="1" applyFont="1" applyFill="1" applyBorder="1" applyAlignment="1">
      <alignment horizontal="center"/>
    </xf>
    <xf numFmtId="39" fontId="3" fillId="2" borderId="1" xfId="1" applyNumberFormat="1" applyFont="1" applyFill="1" applyBorder="1" applyAlignment="1">
      <alignment horizontal="center"/>
    </xf>
    <xf numFmtId="39" fontId="3" fillId="4" borderId="1" xfId="0" applyNumberFormat="1" applyFont="1" applyFill="1" applyBorder="1" applyAlignment="1">
      <alignment horizontal="center"/>
    </xf>
    <xf numFmtId="39" fontId="2" fillId="3" borderId="5" xfId="0" applyNumberFormat="1" applyFont="1" applyFill="1" applyBorder="1" applyAlignment="1" applyProtection="1">
      <alignment horizontal="center"/>
      <protection locked="0"/>
    </xf>
    <xf numFmtId="166" fontId="2" fillId="3" borderId="5" xfId="0" applyNumberFormat="1" applyFont="1" applyFill="1" applyBorder="1" applyAlignment="1" applyProtection="1">
      <alignment horizontal="center"/>
      <protection locked="0"/>
    </xf>
    <xf numFmtId="39" fontId="2" fillId="3" borderId="5" xfId="0" applyNumberFormat="1" applyFont="1" applyFill="1" applyBorder="1" applyAlignment="1" applyProtection="1">
      <alignment wrapText="1"/>
      <protection locked="0"/>
    </xf>
    <xf numFmtId="39" fontId="2" fillId="3" borderId="5" xfId="1" applyNumberFormat="1" applyFill="1" applyBorder="1" applyProtection="1">
      <protection locked="0"/>
    </xf>
    <xf numFmtId="39" fontId="2" fillId="0" borderId="5" xfId="1" applyNumberFormat="1" applyBorder="1"/>
    <xf numFmtId="39" fontId="2" fillId="4" borderId="5" xfId="0" applyNumberFormat="1" applyFont="1" applyFill="1" applyBorder="1" applyAlignment="1">
      <alignment horizontal="center"/>
    </xf>
    <xf numFmtId="39" fontId="2" fillId="3" borderId="6" xfId="0" applyNumberFormat="1" applyFont="1" applyFill="1" applyBorder="1" applyAlignment="1" applyProtection="1">
      <alignment horizontal="center"/>
      <protection locked="0"/>
    </xf>
    <xf numFmtId="39" fontId="2" fillId="3" borderId="6" xfId="0" applyNumberFormat="1" applyFont="1" applyFill="1" applyBorder="1" applyAlignment="1" applyProtection="1">
      <alignment wrapText="1"/>
      <protection locked="0"/>
    </xf>
    <xf numFmtId="39" fontId="2" fillId="3" borderId="6" xfId="1" applyNumberFormat="1" applyFill="1" applyBorder="1" applyProtection="1">
      <protection locked="0"/>
    </xf>
    <xf numFmtId="39" fontId="2" fillId="0" borderId="6" xfId="1" applyNumberFormat="1" applyBorder="1"/>
    <xf numFmtId="166" fontId="2" fillId="3" borderId="6" xfId="0" applyNumberFormat="1" applyFont="1" applyFill="1" applyBorder="1" applyAlignment="1" applyProtection="1">
      <alignment horizontal="center"/>
      <protection locked="0"/>
    </xf>
    <xf numFmtId="39" fontId="2" fillId="0" borderId="6" xfId="0" applyNumberFormat="1" applyFont="1" applyBorder="1" applyAlignment="1">
      <alignment horizontal="center"/>
    </xf>
    <xf numFmtId="39" fontId="3" fillId="4" borderId="6" xfId="0" applyNumberFormat="1" applyFont="1" applyFill="1" applyBorder="1"/>
    <xf numFmtId="39" fontId="2" fillId="3" borderId="6" xfId="0" applyNumberFormat="1" applyFont="1" applyFill="1" applyBorder="1" applyProtection="1">
      <protection locked="0"/>
    </xf>
    <xf numFmtId="39" fontId="2" fillId="4" borderId="6" xfId="0" applyNumberFormat="1" applyFont="1" applyFill="1" applyBorder="1" applyAlignment="1">
      <alignment horizontal="center"/>
    </xf>
    <xf numFmtId="166" fontId="2" fillId="4" borderId="6" xfId="0" applyNumberFormat="1" applyFont="1" applyFill="1" applyBorder="1" applyAlignment="1">
      <alignment horizontal="center"/>
    </xf>
    <xf numFmtId="39" fontId="2" fillId="4" borderId="6" xfId="0" applyNumberFormat="1" applyFont="1" applyFill="1" applyBorder="1"/>
    <xf numFmtId="39" fontId="2" fillId="4" borderId="6" xfId="1" applyNumberFormat="1" applyFill="1" applyBorder="1"/>
    <xf numFmtId="39" fontId="2" fillId="4" borderId="7" xfId="0" applyNumberFormat="1" applyFont="1" applyFill="1" applyBorder="1" applyAlignment="1">
      <alignment horizontal="center"/>
    </xf>
    <xf numFmtId="166" fontId="2" fillId="4" borderId="7" xfId="0" applyNumberFormat="1" applyFont="1" applyFill="1" applyBorder="1" applyAlignment="1">
      <alignment horizontal="center"/>
    </xf>
    <xf numFmtId="39" fontId="2" fillId="4" borderId="7" xfId="0" applyNumberFormat="1" applyFont="1" applyFill="1" applyBorder="1"/>
    <xf numFmtId="39" fontId="2" fillId="4" borderId="7" xfId="1" applyNumberFormat="1" applyFill="1" applyBorder="1"/>
    <xf numFmtId="39" fontId="2" fillId="4" borderId="8" xfId="0" applyNumberFormat="1" applyFont="1" applyFill="1" applyBorder="1"/>
    <xf numFmtId="39" fontId="3" fillId="4" borderId="9" xfId="0" applyNumberFormat="1" applyFont="1" applyFill="1" applyBorder="1" applyAlignment="1">
      <alignment horizontal="left"/>
    </xf>
    <xf numFmtId="39" fontId="2" fillId="4" borderId="9" xfId="0" applyNumberFormat="1" applyFont="1" applyFill="1" applyBorder="1" applyAlignment="1">
      <alignment horizontal="center"/>
    </xf>
    <xf numFmtId="39" fontId="3" fillId="4" borderId="9" xfId="0" applyNumberFormat="1" applyFont="1" applyFill="1" applyBorder="1" applyAlignment="1">
      <alignment horizontal="right"/>
    </xf>
    <xf numFmtId="39" fontId="2" fillId="4" borderId="9" xfId="0" applyNumberFormat="1" applyFont="1" applyFill="1" applyBorder="1"/>
    <xf numFmtId="39" fontId="3" fillId="4" borderId="9" xfId="1" applyNumberFormat="1" applyFont="1" applyFill="1" applyBorder="1"/>
    <xf numFmtId="39" fontId="2" fillId="4" borderId="10" xfId="0" applyNumberFormat="1" applyFont="1" applyFill="1" applyBorder="1"/>
    <xf numFmtId="39" fontId="3" fillId="0" borderId="0" xfId="0" applyNumberFormat="1" applyFont="1" applyAlignment="1">
      <alignment horizontal="center"/>
    </xf>
    <xf numFmtId="39" fontId="2" fillId="0" borderId="0" xfId="0" applyNumberFormat="1" applyFont="1" applyAlignment="1">
      <alignment horizontal="center"/>
    </xf>
    <xf numFmtId="39" fontId="2" fillId="0" borderId="12" xfId="0" applyNumberFormat="1" applyFont="1" applyBorder="1" applyAlignment="1">
      <alignment horizontal="center"/>
    </xf>
    <xf numFmtId="39" fontId="2" fillId="0" borderId="13" xfId="0" applyNumberFormat="1" applyFont="1" applyBorder="1"/>
    <xf numFmtId="39" fontId="3" fillId="0" borderId="14" xfId="0" applyNumberFormat="1" applyFont="1" applyBorder="1" applyAlignment="1">
      <alignment horizontal="center" vertical="center" wrapText="1"/>
    </xf>
    <xf numFmtId="39" fontId="3" fillId="0" borderId="6" xfId="0" applyNumberFormat="1" applyFont="1" applyBorder="1" applyAlignment="1">
      <alignment horizontal="center"/>
    </xf>
    <xf numFmtId="0" fontId="2" fillId="0" borderId="6" xfId="0" applyFont="1" applyBorder="1" applyAlignment="1">
      <alignment horizontal="center"/>
    </xf>
    <xf numFmtId="39" fontId="3" fillId="0" borderId="15" xfId="0" applyNumberFormat="1" applyFont="1" applyBorder="1" applyAlignment="1">
      <alignment horizontal="center" vertical="center" wrapText="1"/>
    </xf>
    <xf numFmtId="0" fontId="2" fillId="6" borderId="6" xfId="0" applyFont="1" applyFill="1" applyBorder="1" applyAlignment="1">
      <alignment horizontal="center"/>
    </xf>
    <xf numFmtId="0" fontId="2" fillId="0" borderId="0" xfId="0" applyFont="1" applyAlignment="1">
      <alignment wrapText="1"/>
    </xf>
    <xf numFmtId="39" fontId="2" fillId="0" borderId="0" xfId="0" applyNumberFormat="1" applyFont="1" applyAlignment="1">
      <alignment horizontal="left"/>
    </xf>
    <xf numFmtId="39" fontId="2" fillId="0" borderId="15" xfId="0" applyNumberFormat="1" applyFont="1" applyBorder="1"/>
    <xf numFmtId="167" fontId="3" fillId="2" borderId="16" xfId="0" applyNumberFormat="1" applyFont="1" applyFill="1" applyBorder="1" applyAlignment="1">
      <alignment horizontal="center" vertical="center" wrapText="1"/>
    </xf>
    <xf numFmtId="39" fontId="3" fillId="0" borderId="17" xfId="0" applyNumberFormat="1" applyFont="1" applyBorder="1" applyAlignment="1">
      <alignment horizontal="center"/>
    </xf>
    <xf numFmtId="0" fontId="2" fillId="0" borderId="17" xfId="0" applyFont="1" applyBorder="1" applyAlignment="1">
      <alignment horizontal="center"/>
    </xf>
    <xf numFmtId="39" fontId="2" fillId="0" borderId="18" xfId="0" applyNumberFormat="1" applyFont="1" applyBorder="1"/>
    <xf numFmtId="39" fontId="3" fillId="4" borderId="1" xfId="0" applyNumberFormat="1" applyFont="1" applyFill="1" applyBorder="1" applyAlignment="1">
      <alignment horizontal="left" vertical="top" wrapText="1"/>
    </xf>
    <xf numFmtId="39" fontId="2" fillId="0" borderId="12" xfId="1" applyNumberFormat="1" applyBorder="1"/>
    <xf numFmtId="39" fontId="2" fillId="0" borderId="19" xfId="1" applyNumberFormat="1" applyBorder="1"/>
    <xf numFmtId="39" fontId="2" fillId="0" borderId="12" xfId="1" applyNumberFormat="1" applyBorder="1" applyAlignment="1">
      <alignment horizontal="center"/>
    </xf>
    <xf numFmtId="39" fontId="2" fillId="8" borderId="20" xfId="1" applyNumberFormat="1" applyFill="1" applyBorder="1"/>
    <xf numFmtId="39" fontId="2" fillId="8" borderId="22" xfId="1" applyNumberFormat="1" applyFill="1" applyBorder="1"/>
    <xf numFmtId="39" fontId="2" fillId="8" borderId="6" xfId="1" applyNumberFormat="1" applyFill="1" applyBorder="1"/>
    <xf numFmtId="168" fontId="3" fillId="3" borderId="1" xfId="0" applyNumberFormat="1" applyFont="1" applyFill="1" applyBorder="1" applyAlignment="1" applyProtection="1">
      <alignment horizontal="center" vertical="center"/>
      <protection locked="0"/>
    </xf>
    <xf numFmtId="39" fontId="2" fillId="0" borderId="20" xfId="1" applyNumberFormat="1" applyBorder="1"/>
    <xf numFmtId="169" fontId="3" fillId="0" borderId="0" xfId="0" applyNumberFormat="1" applyFont="1" applyAlignment="1">
      <alignment horizontal="center"/>
    </xf>
    <xf numFmtId="39" fontId="2" fillId="0" borderId="6" xfId="0" applyNumberFormat="1" applyFont="1" applyBorder="1"/>
    <xf numFmtId="39" fontId="2" fillId="0" borderId="0" xfId="0" applyNumberFormat="1" applyFont="1" applyAlignment="1">
      <alignment horizontal="center" wrapText="1"/>
    </xf>
    <xf numFmtId="0" fontId="5" fillId="0" borderId="0" xfId="2" applyAlignment="1" applyProtection="1">
      <alignment horizontal="center"/>
    </xf>
    <xf numFmtId="0" fontId="2" fillId="0" borderId="0" xfId="0" applyFont="1"/>
    <xf numFmtId="39" fontId="3" fillId="0" borderId="7" xfId="0" applyNumberFormat="1" applyFont="1" applyBorder="1" applyAlignment="1">
      <alignment horizontal="center"/>
    </xf>
    <xf numFmtId="39" fontId="3" fillId="0" borderId="7" xfId="0" applyNumberFormat="1" applyFont="1" applyBorder="1"/>
    <xf numFmtId="39" fontId="3" fillId="0" borderId="23" xfId="0" applyNumberFormat="1" applyFont="1" applyBorder="1"/>
    <xf numFmtId="39" fontId="3" fillId="0" borderId="24" xfId="0" applyNumberFormat="1" applyFont="1" applyBorder="1"/>
    <xf numFmtId="39" fontId="3" fillId="0" borderId="17" xfId="0" applyNumberFormat="1" applyFont="1" applyBorder="1"/>
    <xf numFmtId="39" fontId="2" fillId="0" borderId="3" xfId="0" applyNumberFormat="1" applyFont="1" applyBorder="1"/>
    <xf numFmtId="39" fontId="2" fillId="0" borderId="25" xfId="0" applyNumberFormat="1" applyFont="1" applyBorder="1"/>
    <xf numFmtId="39" fontId="2" fillId="0" borderId="26" xfId="0" applyNumberFormat="1" applyFont="1" applyBorder="1"/>
    <xf numFmtId="39" fontId="2" fillId="5" borderId="27" xfId="1" applyNumberFormat="1" applyFill="1" applyBorder="1"/>
    <xf numFmtId="39" fontId="7" fillId="0" borderId="2" xfId="0" applyNumberFormat="1" applyFont="1" applyBorder="1" applyAlignment="1">
      <alignment horizontal="center" vertical="center"/>
    </xf>
    <xf numFmtId="39" fontId="7" fillId="0" borderId="29" xfId="0" applyNumberFormat="1" applyFont="1" applyBorder="1" applyAlignment="1">
      <alignment horizontal="center" vertical="center"/>
    </xf>
    <xf numFmtId="39" fontId="7" fillId="0" borderId="30" xfId="0" applyNumberFormat="1" applyFont="1" applyBorder="1" applyAlignment="1">
      <alignment horizontal="center" vertical="center"/>
    </xf>
    <xf numFmtId="39" fontId="6" fillId="0" borderId="31" xfId="0" applyNumberFormat="1" applyFont="1" applyBorder="1" applyAlignment="1">
      <alignment horizontal="center" vertical="center"/>
    </xf>
    <xf numFmtId="39" fontId="6" fillId="0" borderId="0" xfId="0" applyNumberFormat="1" applyFont="1" applyAlignment="1">
      <alignment horizontal="center" vertical="center"/>
    </xf>
    <xf numFmtId="39" fontId="6" fillId="0" borderId="32" xfId="0" applyNumberFormat="1" applyFont="1" applyBorder="1" applyAlignment="1">
      <alignment horizontal="center" vertical="center"/>
    </xf>
    <xf numFmtId="39" fontId="8" fillId="0" borderId="31" xfId="0" applyNumberFormat="1" applyFont="1" applyBorder="1" applyAlignment="1">
      <alignment horizontal="left"/>
    </xf>
    <xf numFmtId="39" fontId="8" fillId="0" borderId="0" xfId="0" applyNumberFormat="1" applyFont="1"/>
    <xf numFmtId="39" fontId="8" fillId="0" borderId="0" xfId="0" applyNumberFormat="1" applyFont="1" applyAlignment="1">
      <alignment horizontal="center"/>
    </xf>
    <xf numFmtId="39" fontId="8" fillId="0" borderId="31" xfId="0" applyNumberFormat="1" applyFont="1" applyBorder="1" applyAlignment="1">
      <alignment horizontal="center"/>
    </xf>
    <xf numFmtId="39" fontId="8" fillId="0" borderId="32" xfId="0" applyNumberFormat="1" applyFont="1" applyBorder="1" applyAlignment="1">
      <alignment horizontal="center"/>
    </xf>
    <xf numFmtId="39" fontId="7" fillId="0" borderId="31" xfId="0" applyNumberFormat="1" applyFont="1" applyBorder="1" applyAlignment="1">
      <alignment horizontal="center"/>
    </xf>
    <xf numFmtId="1" fontId="9" fillId="0" borderId="0" xfId="0" applyNumberFormat="1" applyFont="1"/>
    <xf numFmtId="39" fontId="7" fillId="0" borderId="0" xfId="0" applyNumberFormat="1" applyFont="1" applyAlignment="1">
      <alignment horizontal="left"/>
    </xf>
    <xf numFmtId="39" fontId="8" fillId="0" borderId="0" xfId="0" applyNumberFormat="1" applyFont="1" applyAlignment="1">
      <alignment horizontal="left"/>
    </xf>
    <xf numFmtId="39" fontId="8" fillId="0" borderId="33" xfId="0" applyNumberFormat="1" applyFont="1" applyBorder="1" applyAlignment="1">
      <alignment horizontal="center"/>
    </xf>
    <xf numFmtId="39" fontId="8" fillId="0" borderId="0" xfId="0" applyNumberFormat="1" applyFont="1" applyAlignment="1">
      <alignment horizontal="right"/>
    </xf>
    <xf numFmtId="39" fontId="9" fillId="0" borderId="0" xfId="0" applyNumberFormat="1" applyFont="1"/>
    <xf numFmtId="0" fontId="8" fillId="0" borderId="0" xfId="0" applyFont="1" applyAlignment="1">
      <alignment vertical="center" wrapText="1"/>
    </xf>
    <xf numFmtId="0" fontId="8" fillId="0" borderId="32" xfId="0" applyFont="1" applyBorder="1" applyAlignment="1">
      <alignment vertical="center" wrapText="1"/>
    </xf>
    <xf numFmtId="39" fontId="8" fillId="0" borderId="32" xfId="0" applyNumberFormat="1" applyFont="1" applyBorder="1"/>
    <xf numFmtId="39" fontId="8" fillId="0" borderId="33" xfId="0" applyNumberFormat="1" applyFont="1" applyBorder="1"/>
    <xf numFmtId="39" fontId="8" fillId="0" borderId="31" xfId="0" applyNumberFormat="1" applyFont="1" applyBorder="1"/>
    <xf numFmtId="39" fontId="8" fillId="0" borderId="34" xfId="0" applyNumberFormat="1" applyFont="1" applyBorder="1" applyAlignment="1">
      <alignment horizontal="center"/>
    </xf>
    <xf numFmtId="39" fontId="8" fillId="0" borderId="35" xfId="0" applyNumberFormat="1" applyFont="1" applyBorder="1" applyAlignment="1">
      <alignment horizontal="center"/>
    </xf>
    <xf numFmtId="39" fontId="8" fillId="0" borderId="36" xfId="0" applyNumberFormat="1" applyFont="1" applyBorder="1" applyAlignment="1">
      <alignment horizontal="center"/>
    </xf>
    <xf numFmtId="39" fontId="7" fillId="0" borderId="34" xfId="0" applyNumberFormat="1" applyFont="1" applyBorder="1" applyAlignment="1">
      <alignment horizontal="center"/>
    </xf>
    <xf numFmtId="39" fontId="8" fillId="0" borderId="35" xfId="0" applyNumberFormat="1" applyFont="1" applyBorder="1"/>
    <xf numFmtId="39" fontId="8" fillId="0" borderId="35" xfId="0" applyNumberFormat="1" applyFont="1" applyBorder="1" applyAlignment="1">
      <alignment horizontal="right"/>
    </xf>
    <xf numFmtId="0" fontId="8" fillId="0" borderId="35" xfId="0" applyFont="1" applyBorder="1" applyAlignment="1">
      <alignment horizontal="center" vertical="center" wrapText="1"/>
    </xf>
    <xf numFmtId="0" fontId="8" fillId="0" borderId="36" xfId="0" applyFont="1" applyBorder="1" applyAlignment="1">
      <alignment horizontal="center" vertical="center" wrapText="1"/>
    </xf>
    <xf numFmtId="39" fontId="2" fillId="0" borderId="0" xfId="0" applyNumberFormat="1" applyFont="1" applyAlignment="1">
      <alignment horizontal="right"/>
    </xf>
    <xf numFmtId="39" fontId="3" fillId="0" borderId="0" xfId="0" applyNumberFormat="1" applyFont="1" applyAlignment="1">
      <alignment horizontal="left"/>
    </xf>
    <xf numFmtId="39" fontId="10" fillId="0" borderId="0" xfId="0" applyNumberFormat="1" applyFont="1"/>
    <xf numFmtId="0" fontId="3" fillId="0" borderId="0" xfId="0" applyFont="1"/>
    <xf numFmtId="37" fontId="2" fillId="0" borderId="0" xfId="0" applyNumberFormat="1" applyFont="1"/>
    <xf numFmtId="39" fontId="11" fillId="0" borderId="0" xfId="0" applyNumberFormat="1" applyFont="1" applyAlignment="1">
      <alignment horizontal="left"/>
    </xf>
    <xf numFmtId="39" fontId="2" fillId="0" borderId="6" xfId="1" applyNumberFormat="1" applyBorder="1" applyAlignment="1">
      <alignment horizontal="center"/>
    </xf>
    <xf numFmtId="39" fontId="10" fillId="0" borderId="0" xfId="0" applyNumberFormat="1" applyFont="1" applyAlignment="1">
      <alignment horizontal="left"/>
    </xf>
    <xf numFmtId="39" fontId="12" fillId="0" borderId="0" xfId="0" applyNumberFormat="1" applyFont="1" applyAlignment="1">
      <alignment horizontal="left" vertical="top"/>
    </xf>
    <xf numFmtId="39" fontId="13" fillId="0" borderId="0" xfId="0" applyNumberFormat="1" applyFont="1"/>
    <xf numFmtId="39" fontId="12" fillId="0" borderId="0" xfId="0" applyNumberFormat="1" applyFont="1" applyAlignment="1">
      <alignment horizontal="left"/>
    </xf>
    <xf numFmtId="39" fontId="13" fillId="3" borderId="0" xfId="0" applyNumberFormat="1" applyFont="1" applyFill="1" applyProtection="1">
      <protection locked="0"/>
    </xf>
    <xf numFmtId="39" fontId="14" fillId="0" borderId="0" xfId="0" applyNumberFormat="1" applyFont="1"/>
    <xf numFmtId="0" fontId="13" fillId="0" borderId="0" xfId="0" applyFont="1" applyAlignment="1">
      <alignment horizontal="left"/>
    </xf>
    <xf numFmtId="0" fontId="13" fillId="0" borderId="0" xfId="0" applyFont="1"/>
    <xf numFmtId="0" fontId="13" fillId="0" borderId="0" xfId="0" applyFont="1" applyAlignment="1">
      <alignment horizontal="center"/>
    </xf>
    <xf numFmtId="0" fontId="13" fillId="0" borderId="33" xfId="0" applyFont="1" applyBorder="1"/>
    <xf numFmtId="0" fontId="14" fillId="0" borderId="0" xfId="0" applyFont="1"/>
    <xf numFmtId="0" fontId="7" fillId="0" borderId="1" xfId="0" applyFont="1" applyBorder="1" applyAlignment="1">
      <alignment horizontal="left" vertical="top" wrapText="1"/>
    </xf>
    <xf numFmtId="39" fontId="7" fillId="0" borderId="6" xfId="0" applyNumberFormat="1" applyFont="1" applyBorder="1"/>
    <xf numFmtId="0" fontId="8" fillId="3" borderId="6" xfId="0" applyFont="1" applyFill="1" applyBorder="1" applyAlignment="1" applyProtection="1">
      <alignment horizontal="center"/>
      <protection locked="0"/>
    </xf>
    <xf numFmtId="0" fontId="7" fillId="0" borderId="1" xfId="0" applyFont="1" applyBorder="1" applyAlignment="1">
      <alignment horizontal="left" wrapText="1"/>
    </xf>
    <xf numFmtId="0" fontId="15" fillId="0" borderId="0" xfId="0" applyFont="1" applyAlignment="1">
      <alignment horizontal="center"/>
    </xf>
    <xf numFmtId="39" fontId="7" fillId="0" borderId="6" xfId="0" applyNumberFormat="1" applyFont="1" applyBorder="1" applyAlignment="1">
      <alignment horizontal="left"/>
    </xf>
    <xf numFmtId="14" fontId="1" fillId="3" borderId="5" xfId="0" applyNumberFormat="1" applyFont="1" applyFill="1" applyBorder="1" applyAlignment="1" applyProtection="1">
      <alignment horizontal="center"/>
      <protection locked="0"/>
    </xf>
    <xf numFmtId="0" fontId="1" fillId="3" borderId="5" xfId="0" applyFont="1" applyFill="1" applyBorder="1" applyAlignment="1" applyProtection="1">
      <alignment wrapText="1"/>
      <protection locked="0"/>
    </xf>
    <xf numFmtId="0" fontId="1" fillId="3" borderId="5" xfId="0" applyFont="1" applyFill="1" applyBorder="1" applyAlignment="1" applyProtection="1">
      <alignment horizontal="center"/>
      <protection locked="0"/>
    </xf>
    <xf numFmtId="4" fontId="1" fillId="3" borderId="5" xfId="0" applyNumberFormat="1" applyFont="1" applyFill="1" applyBorder="1" applyProtection="1">
      <protection locked="0"/>
    </xf>
    <xf numFmtId="0" fontId="1" fillId="3" borderId="6" xfId="0" applyFont="1" applyFill="1" applyBorder="1" applyProtection="1">
      <protection locked="0"/>
    </xf>
    <xf numFmtId="4" fontId="1" fillId="3" borderId="6" xfId="0" applyNumberFormat="1" applyFont="1" applyFill="1" applyBorder="1" applyProtection="1">
      <protection locked="0"/>
    </xf>
    <xf numFmtId="4" fontId="1" fillId="0" borderId="6" xfId="0" applyNumberFormat="1" applyFont="1" applyBorder="1"/>
    <xf numFmtId="4" fontId="1" fillId="0" borderId="5" xfId="0" applyNumberFormat="1" applyFont="1" applyBorder="1"/>
    <xf numFmtId="39" fontId="9" fillId="0" borderId="0" xfId="0" applyNumberFormat="1" applyFont="1" applyAlignment="1">
      <alignment horizontal="center" wrapText="1"/>
    </xf>
    <xf numFmtId="0" fontId="7" fillId="0" borderId="6" xfId="0" applyFont="1" applyBorder="1"/>
    <xf numFmtId="14" fontId="1" fillId="3" borderId="6" xfId="0" applyNumberFormat="1" applyFont="1" applyFill="1" applyBorder="1" applyAlignment="1" applyProtection="1">
      <alignment horizontal="center"/>
      <protection locked="0"/>
    </xf>
    <xf numFmtId="0" fontId="1" fillId="3" borderId="6" xfId="0" applyFont="1" applyFill="1" applyBorder="1" applyAlignment="1" applyProtection="1">
      <alignment horizontal="center"/>
      <protection locked="0"/>
    </xf>
    <xf numFmtId="0" fontId="1" fillId="3" borderId="6" xfId="0" applyFont="1" applyFill="1" applyBorder="1" applyAlignment="1" applyProtection="1">
      <alignment wrapText="1"/>
      <protection locked="0"/>
    </xf>
    <xf numFmtId="0" fontId="8" fillId="9" borderId="6" xfId="0" applyFont="1" applyFill="1" applyBorder="1" applyAlignment="1">
      <alignment horizontal="left"/>
    </xf>
    <xf numFmtId="0" fontId="7" fillId="4" borderId="6" xfId="0" applyFont="1" applyFill="1" applyBorder="1"/>
    <xf numFmtId="0" fontId="8" fillId="4" borderId="6" xfId="0" applyFont="1" applyFill="1" applyBorder="1" applyAlignment="1">
      <alignment horizontal="center"/>
    </xf>
    <xf numFmtId="4" fontId="7" fillId="2" borderId="26" xfId="0" applyNumberFormat="1" applyFont="1" applyFill="1" applyBorder="1"/>
    <xf numFmtId="0" fontId="8" fillId="4" borderId="6" xfId="0" applyFont="1" applyFill="1" applyBorder="1"/>
    <xf numFmtId="4" fontId="8" fillId="4" borderId="6" xfId="0" applyNumberFormat="1" applyFont="1" applyFill="1" applyBorder="1"/>
    <xf numFmtId="0" fontId="16" fillId="0" borderId="0" xfId="0" applyFont="1"/>
    <xf numFmtId="0" fontId="8" fillId="0" borderId="0" xfId="0" applyFont="1" applyAlignment="1">
      <alignment horizontal="left"/>
    </xf>
    <xf numFmtId="0" fontId="17" fillId="0" borderId="0" xfId="0" applyFont="1"/>
    <xf numFmtId="0" fontId="2" fillId="0" borderId="0" xfId="0" applyFont="1" applyAlignment="1">
      <alignment horizontal="left"/>
    </xf>
    <xf numFmtId="0" fontId="2" fillId="0" borderId="0" xfId="0" applyFont="1" applyAlignment="1">
      <alignment horizontal="center"/>
    </xf>
    <xf numFmtId="0" fontId="2" fillId="0" borderId="0" xfId="0" applyFont="1" applyAlignment="1">
      <alignment vertical="top" wrapText="1"/>
    </xf>
    <xf numFmtId="0" fontId="2" fillId="0" borderId="0" xfId="0" applyFont="1" applyAlignment="1">
      <alignment horizontal="left" vertical="top" wrapText="1"/>
    </xf>
    <xf numFmtId="0" fontId="5" fillId="0" borderId="0" xfId="2" applyAlignment="1" applyProtection="1">
      <alignment horizontal="left" vertical="top" wrapText="1"/>
    </xf>
    <xf numFmtId="0" fontId="2" fillId="0" borderId="0" xfId="0" applyFont="1" applyAlignment="1">
      <alignment horizontal="justify" vertical="top" wrapText="1"/>
    </xf>
    <xf numFmtId="0" fontId="7" fillId="0" borderId="0" xfId="0" applyFont="1" applyAlignment="1">
      <alignment vertical="top"/>
    </xf>
    <xf numFmtId="0" fontId="3" fillId="0" borderId="0" xfId="0" applyFont="1" applyAlignment="1">
      <alignment vertical="top" wrapText="1"/>
    </xf>
    <xf numFmtId="0" fontId="3" fillId="0" borderId="0" xfId="0" applyFont="1" applyAlignment="1">
      <alignment horizontal="justify" vertical="top" wrapText="1"/>
    </xf>
    <xf numFmtId="15" fontId="3" fillId="0" borderId="0" xfId="0" applyNumberFormat="1" applyFont="1" applyAlignment="1">
      <alignment horizontal="justify" vertical="top" wrapText="1"/>
    </xf>
    <xf numFmtId="39" fontId="2" fillId="0" borderId="0" xfId="0" applyNumberFormat="1" applyFont="1" applyAlignment="1">
      <alignment horizontal="justify" vertical="top" wrapText="1"/>
    </xf>
    <xf numFmtId="15" fontId="2" fillId="0" borderId="0" xfId="0" applyNumberFormat="1" applyFont="1" applyAlignment="1">
      <alignment horizontal="justify" vertical="top" wrapText="1"/>
    </xf>
    <xf numFmtId="0" fontId="3" fillId="0" borderId="0" xfId="0" applyFont="1" applyAlignment="1">
      <alignment horizontal="left" vertical="top" wrapText="1"/>
    </xf>
    <xf numFmtId="0" fontId="18" fillId="0" borderId="0" xfId="0" applyFont="1" applyAlignment="1">
      <alignment vertical="top"/>
    </xf>
    <xf numFmtId="0" fontId="2" fillId="0" borderId="0" xfId="0" applyFont="1" applyAlignment="1">
      <alignment horizontal="right" vertical="top" wrapText="1"/>
    </xf>
    <xf numFmtId="0" fontId="10" fillId="0" borderId="0" xfId="0" applyFont="1" applyAlignment="1">
      <alignment horizontal="justify" wrapText="1"/>
    </xf>
    <xf numFmtId="0" fontId="2" fillId="0" borderId="0" xfId="0" applyFont="1" applyAlignment="1">
      <alignment horizontal="justify" vertical="top"/>
    </xf>
    <xf numFmtId="39" fontId="19" fillId="0" borderId="0" xfId="2" applyNumberFormat="1" applyFont="1" applyAlignment="1" applyProtection="1">
      <alignment vertical="center"/>
    </xf>
    <xf numFmtId="39" fontId="21" fillId="0" borderId="0" xfId="4" applyNumberFormat="1" applyFont="1" applyAlignment="1" applyProtection="1">
      <alignment vertical="center"/>
    </xf>
    <xf numFmtId="0" fontId="3" fillId="5" borderId="0" xfId="0" applyFont="1" applyFill="1"/>
    <xf numFmtId="0" fontId="0" fillId="10" borderId="0" xfId="0" applyFill="1"/>
    <xf numFmtId="39" fontId="3" fillId="0" borderId="0" xfId="0" applyNumberFormat="1" applyFont="1" applyAlignment="1">
      <alignment horizontal="left" wrapText="1"/>
    </xf>
    <xf numFmtId="39" fontId="3" fillId="0" borderId="0" xfId="0" applyNumberFormat="1" applyFont="1" applyAlignment="1">
      <alignment horizontal="left"/>
    </xf>
    <xf numFmtId="39" fontId="6" fillId="0" borderId="28" xfId="0" applyNumberFormat="1" applyFont="1" applyBorder="1" applyAlignment="1">
      <alignment horizontal="center" vertical="center"/>
    </xf>
    <xf numFmtId="0" fontId="8" fillId="0" borderId="32" xfId="0" applyFont="1" applyBorder="1" applyAlignment="1">
      <alignment horizontal="center" vertical="center" wrapText="1"/>
    </xf>
    <xf numFmtId="39" fontId="8" fillId="0" borderId="32" xfId="0" applyNumberFormat="1" applyFont="1" applyBorder="1" applyAlignment="1">
      <alignment horizontal="center"/>
    </xf>
    <xf numFmtId="39" fontId="8" fillId="0" borderId="33" xfId="0" applyNumberFormat="1" applyFont="1" applyBorder="1" applyAlignment="1">
      <alignment horizontal="center"/>
    </xf>
    <xf numFmtId="39" fontId="3" fillId="4" borderId="1" xfId="0" applyNumberFormat="1" applyFont="1" applyFill="1" applyBorder="1" applyAlignment="1">
      <alignment horizontal="left" vertical="top" wrapText="1"/>
    </xf>
    <xf numFmtId="4" fontId="3" fillId="0" borderId="1" xfId="0" applyNumberFormat="1" applyFont="1" applyBorder="1" applyAlignment="1">
      <alignment horizontal="center" vertical="center"/>
    </xf>
    <xf numFmtId="39" fontId="3" fillId="7" borderId="1" xfId="0" applyNumberFormat="1" applyFont="1" applyFill="1" applyBorder="1" applyAlignment="1">
      <alignment horizontal="center" vertical="center" wrapText="1"/>
    </xf>
    <xf numFmtId="39" fontId="2" fillId="0" borderId="21" xfId="0" applyNumberFormat="1" applyFont="1" applyBorder="1" applyAlignment="1">
      <alignment horizontal="center" vertical="center" wrapText="1"/>
    </xf>
    <xf numFmtId="39" fontId="3" fillId="4" borderId="1" xfId="0" applyNumberFormat="1" applyFont="1" applyFill="1" applyBorder="1" applyAlignment="1">
      <alignment horizontal="left" vertical="top"/>
    </xf>
    <xf numFmtId="168" fontId="3" fillId="0" borderId="1" xfId="0" applyNumberFormat="1" applyFont="1" applyBorder="1" applyAlignment="1">
      <alignment horizontal="center" vertical="center"/>
    </xf>
    <xf numFmtId="39" fontId="5" fillId="7" borderId="3" xfId="2" applyNumberFormat="1" applyFill="1" applyBorder="1" applyAlignment="1" applyProtection="1">
      <alignment horizontal="center" vertical="center" wrapText="1"/>
    </xf>
    <xf numFmtId="39" fontId="2" fillId="0" borderId="0" xfId="0" applyNumberFormat="1" applyFont="1" applyAlignment="1">
      <alignment horizontal="left" wrapText="1"/>
    </xf>
    <xf numFmtId="39" fontId="4" fillId="0" borderId="0" xfId="0" applyNumberFormat="1" applyFont="1" applyAlignment="1">
      <alignment wrapText="1"/>
    </xf>
    <xf numFmtId="39" fontId="3" fillId="0" borderId="15" xfId="0" applyNumberFormat="1" applyFont="1" applyBorder="1" applyAlignment="1">
      <alignment horizontal="center" vertical="center" wrapText="1"/>
    </xf>
    <xf numFmtId="167" fontId="3" fillId="5" borderId="14" xfId="0" applyNumberFormat="1" applyFont="1" applyFill="1" applyBorder="1" applyAlignment="1">
      <alignment horizontal="center" vertical="center" wrapText="1"/>
    </xf>
    <xf numFmtId="39" fontId="3" fillId="3" borderId="1" xfId="0" applyNumberFormat="1" applyFont="1" applyFill="1" applyBorder="1" applyAlignment="1" applyProtection="1">
      <alignment horizontal="center" vertical="center"/>
      <protection locked="0"/>
    </xf>
    <xf numFmtId="39" fontId="3" fillId="7" borderId="3" xfId="0" applyNumberFormat="1" applyFont="1" applyFill="1" applyBorder="1" applyAlignment="1">
      <alignment horizontal="center" vertical="center" wrapText="1"/>
    </xf>
    <xf numFmtId="39" fontId="3" fillId="0" borderId="11" xfId="0" applyNumberFormat="1" applyFont="1" applyBorder="1" applyAlignment="1">
      <alignment horizontal="center" vertical="center" wrapText="1"/>
    </xf>
    <xf numFmtId="39" fontId="3" fillId="2" borderId="1" xfId="0" applyNumberFormat="1" applyFont="1" applyFill="1" applyBorder="1" applyAlignment="1">
      <alignment horizontal="center" vertical="center" wrapText="1"/>
    </xf>
    <xf numFmtId="39" fontId="3" fillId="2" borderId="4" xfId="0" applyNumberFormat="1" applyFont="1" applyFill="1" applyBorder="1" applyAlignment="1">
      <alignment horizontal="center" vertical="center" wrapText="1"/>
    </xf>
    <xf numFmtId="39" fontId="3" fillId="4" borderId="1" xfId="0" applyNumberFormat="1" applyFont="1" applyFill="1" applyBorder="1" applyAlignment="1">
      <alignment horizontal="center" vertical="center"/>
    </xf>
    <xf numFmtId="39" fontId="3" fillId="0" borderId="11" xfId="0" applyNumberFormat="1" applyFont="1" applyBorder="1" applyAlignment="1">
      <alignment horizontal="center"/>
    </xf>
    <xf numFmtId="39" fontId="3" fillId="2" borderId="1" xfId="0" applyNumberFormat="1" applyFont="1" applyFill="1" applyBorder="1" applyAlignment="1">
      <alignment horizontal="center" vertical="center"/>
    </xf>
    <xf numFmtId="39" fontId="3" fillId="4" borderId="1" xfId="0" applyNumberFormat="1" applyFont="1" applyFill="1" applyBorder="1" applyAlignment="1">
      <alignment horizontal="center" vertical="center" wrapText="1"/>
    </xf>
    <xf numFmtId="39" fontId="3" fillId="2" borderId="3" xfId="0" applyNumberFormat="1" applyFont="1" applyFill="1" applyBorder="1" applyAlignment="1">
      <alignment horizontal="center" vertical="center"/>
    </xf>
    <xf numFmtId="164" fontId="3" fillId="3" borderId="1" xfId="0" applyNumberFormat="1" applyFont="1" applyFill="1" applyBorder="1" applyAlignment="1" applyProtection="1">
      <alignment horizontal="center" vertical="center" wrapText="1"/>
      <protection locked="0"/>
    </xf>
    <xf numFmtId="39" fontId="3" fillId="3" borderId="1" xfId="0" applyNumberFormat="1" applyFont="1" applyFill="1" applyBorder="1" applyAlignment="1" applyProtection="1">
      <alignment horizontal="center" vertical="center" wrapText="1"/>
      <protection locked="0"/>
    </xf>
    <xf numFmtId="39" fontId="3" fillId="2" borderId="1" xfId="0" applyNumberFormat="1" applyFont="1" applyFill="1" applyBorder="1" applyAlignment="1">
      <alignment vertical="center" wrapText="1"/>
    </xf>
    <xf numFmtId="15" fontId="3" fillId="2" borderId="2" xfId="0" applyNumberFormat="1" applyFont="1" applyFill="1" applyBorder="1" applyAlignment="1">
      <alignment horizontal="center" vertical="center" wrapText="1"/>
    </xf>
    <xf numFmtId="39" fontId="3" fillId="2" borderId="0" xfId="0" applyNumberFormat="1" applyFont="1" applyFill="1" applyAlignment="1">
      <alignment horizontal="center" vertical="center"/>
    </xf>
    <xf numFmtId="39" fontId="2" fillId="2" borderId="0" xfId="0" applyNumberFormat="1" applyFont="1" applyFill="1" applyAlignment="1">
      <alignment horizontal="center" vertical="center"/>
    </xf>
    <xf numFmtId="49" fontId="3" fillId="3" borderId="2" xfId="0" applyNumberFormat="1" applyFont="1" applyFill="1" applyBorder="1" applyAlignment="1" applyProtection="1">
      <alignment horizontal="center" vertical="center" wrapText="1"/>
      <protection locked="0"/>
    </xf>
    <xf numFmtId="39" fontId="3" fillId="2" borderId="3" xfId="0" applyNumberFormat="1" applyFont="1" applyFill="1" applyBorder="1" applyAlignment="1">
      <alignment horizontal="center" vertical="center" wrapText="1"/>
    </xf>
    <xf numFmtId="39" fontId="2" fillId="0" borderId="0" xfId="0" applyNumberFormat="1" applyFont="1"/>
    <xf numFmtId="0" fontId="0" fillId="0" borderId="0" xfId="0"/>
    <xf numFmtId="39" fontId="2" fillId="0" borderId="16" xfId="0" applyNumberFormat="1" applyFont="1" applyBorder="1" applyAlignment="1">
      <alignment horizontal="center" vertical="center" wrapText="1"/>
    </xf>
    <xf numFmtId="164" fontId="3" fillId="4" borderId="1" xfId="0" applyNumberFormat="1" applyFont="1" applyFill="1" applyBorder="1" applyAlignment="1">
      <alignment horizontal="center" vertical="center" wrapText="1"/>
    </xf>
    <xf numFmtId="0" fontId="7" fillId="0" borderId="1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6" xfId="0" applyFont="1" applyBorder="1" applyAlignment="1">
      <alignment horizontal="center" vertical="center" wrapText="1"/>
    </xf>
    <xf numFmtId="39" fontId="7" fillId="0" borderId="1" xfId="0" applyNumberFormat="1" applyFont="1" applyBorder="1" applyAlignment="1">
      <alignment horizontal="center" vertical="center" wrapText="1"/>
    </xf>
    <xf numFmtId="0" fontId="7" fillId="0" borderId="0" xfId="0" applyFont="1" applyAlignment="1">
      <alignment horizontal="center" vertical="top" wrapText="1"/>
    </xf>
    <xf numFmtId="0" fontId="2" fillId="0" borderId="0" xfId="0" applyFont="1" applyAlignment="1">
      <alignment horizontal="left" vertical="top" wrapText="1"/>
    </xf>
    <xf numFmtId="0" fontId="2" fillId="0" borderId="0" xfId="0" applyFont="1" applyAlignment="1">
      <alignment horizontal="justify" vertical="top" wrapText="1"/>
    </xf>
  </cellXfs>
  <cellStyles count="5">
    <cellStyle name="Comma" xfId="1" builtinId="3"/>
    <cellStyle name="Excel Built-in Followed Hyperlink" xfId="4" xr:uid="{00000000-0005-0000-0000-000008000000}"/>
    <cellStyle name="Hyperlink" xfId="2" builtinId="8"/>
    <cellStyle name="Normal" xfId="0" builtinId="0"/>
    <cellStyle name="Normal 2" xfId="3" xr:uid="{00000000-0005-0000-0000-000006000000}"/>
  </cellStyles>
  <dxfs count="6">
    <dxf>
      <font>
        <b/>
        <color rgb="FFFFFFFF"/>
      </font>
      <fill>
        <patternFill>
          <bgColor rgb="FFFF0000"/>
        </patternFill>
      </fill>
    </dxf>
    <dxf>
      <font>
        <b/>
        <color rgb="FFFFFFFF"/>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FBFBF"/>
      <rgbColor rgb="FFE6B9B8"/>
      <rgbColor rgb="FFCC99FF"/>
      <rgbColor rgb="FFFFC7CE"/>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publications/advisory-fuel-rates/current-rates"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s://taylorwimpey.sharepoint.com/Functions/hr/pages/home.aspx"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www.hmrc.gov.uk/cars/advisory_fuel_current.htm" TargetMode="External"/><Relationship Id="rId1" Type="http://schemas.openxmlformats.org/officeDocument/2006/relationships/hyperlink" Target="https://taylorwimpey.sharepoint.com/Functions/hr/pages/home.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AMJ93"/>
  <sheetViews>
    <sheetView showGridLines="0" showZeros="0" topLeftCell="E3" zoomScale="112" zoomScaleNormal="55" workbookViewId="0">
      <selection activeCell="M4" sqref="M4"/>
    </sheetView>
  </sheetViews>
  <sheetFormatPr baseColWidth="10" defaultColWidth="9.1640625" defaultRowHeight="13" x14ac:dyDescent="0.15"/>
  <cols>
    <col min="1" max="2" width="12.6640625" style="1" customWidth="1"/>
    <col min="3" max="4" width="40.6640625" style="1" customWidth="1"/>
    <col min="5" max="6" width="12.6640625" style="1" customWidth="1"/>
    <col min="7" max="8" width="15.6640625" style="1" customWidth="1"/>
    <col min="9" max="10" width="20.6640625" style="1" customWidth="1"/>
    <col min="11" max="11" width="23.83203125" style="1" customWidth="1"/>
    <col min="12" max="14" width="20.6640625" style="1" customWidth="1"/>
    <col min="15" max="15" width="15.6640625" style="1" customWidth="1"/>
    <col min="16" max="1024" width="9.1640625" style="1"/>
  </cols>
  <sheetData>
    <row r="1" spans="1:15" ht="15" customHeight="1" x14ac:dyDescent="0.15">
      <c r="A1" s="209" t="s">
        <v>0</v>
      </c>
      <c r="B1" s="209"/>
      <c r="C1" s="209"/>
      <c r="D1" s="209"/>
      <c r="E1" s="209"/>
      <c r="F1" s="209"/>
      <c r="G1" s="209"/>
      <c r="H1" s="210"/>
      <c r="I1" s="210"/>
      <c r="J1" s="210"/>
      <c r="K1" s="210"/>
      <c r="L1" s="210"/>
      <c r="M1" s="210"/>
      <c r="N1" s="210"/>
      <c r="O1" s="2"/>
    </row>
    <row r="2" spans="1:15" ht="15" customHeight="1" x14ac:dyDescent="0.15">
      <c r="A2" s="209"/>
      <c r="B2" s="209"/>
      <c r="C2" s="209"/>
      <c r="D2" s="209"/>
      <c r="E2" s="209"/>
      <c r="F2" s="209"/>
      <c r="G2" s="209"/>
      <c r="H2" s="210"/>
      <c r="I2" s="210"/>
      <c r="J2" s="210"/>
      <c r="K2" s="210"/>
      <c r="L2" s="210"/>
      <c r="M2" s="210"/>
      <c r="N2" s="210"/>
      <c r="O2" s="2"/>
    </row>
    <row r="3" spans="1:15" ht="15" customHeight="1" x14ac:dyDescent="0.15">
      <c r="A3" s="209"/>
      <c r="B3" s="209"/>
      <c r="C3" s="209"/>
      <c r="D3" s="209"/>
      <c r="E3" s="209"/>
      <c r="F3" s="209"/>
      <c r="G3" s="209"/>
      <c r="H3" s="210"/>
      <c r="I3" s="210"/>
      <c r="J3" s="210"/>
      <c r="K3" s="210"/>
      <c r="L3" s="210"/>
      <c r="M3" s="210"/>
      <c r="N3" s="210"/>
      <c r="O3" s="2"/>
    </row>
    <row r="4" spans="1:15" s="5" customFormat="1" ht="15" customHeight="1" x14ac:dyDescent="0.15">
      <c r="A4" s="202" t="s">
        <v>1</v>
      </c>
      <c r="B4" s="202"/>
      <c r="C4" s="211" t="s">
        <v>202</v>
      </c>
      <c r="D4" s="211"/>
      <c r="E4" s="212" t="s">
        <v>2</v>
      </c>
      <c r="F4" s="212"/>
      <c r="G4" s="212"/>
      <c r="H4" s="212"/>
      <c r="I4" s="198" t="s">
        <v>3</v>
      </c>
      <c r="J4" s="198"/>
      <c r="K4" s="198"/>
      <c r="L4" s="3" t="s">
        <v>4</v>
      </c>
      <c r="M4" s="4" t="str">
        <f>'Mileage Detail'!M4</f>
        <v>DIESEL</v>
      </c>
      <c r="N4" s="212" t="s">
        <v>5</v>
      </c>
      <c r="O4" s="203" t="s">
        <v>6</v>
      </c>
    </row>
    <row r="5" spans="1:15" ht="15" customHeight="1" x14ac:dyDescent="0.15">
      <c r="A5" s="202"/>
      <c r="B5" s="202"/>
      <c r="C5" s="211"/>
      <c r="D5" s="211"/>
      <c r="E5" s="212"/>
      <c r="F5" s="212"/>
      <c r="G5" s="212"/>
      <c r="H5" s="212"/>
      <c r="I5" s="198"/>
      <c r="J5" s="198"/>
      <c r="K5" s="198"/>
      <c r="L5" s="6" t="s">
        <v>7</v>
      </c>
      <c r="M5" s="7">
        <f>'Mileage Detail'!M5</f>
        <v>1600</v>
      </c>
      <c r="N5" s="212"/>
      <c r="O5" s="203"/>
    </row>
    <row r="6" spans="1:15" s="5" customFormat="1" ht="15" customHeight="1" x14ac:dyDescent="0.15">
      <c r="A6" s="204" t="s">
        <v>8</v>
      </c>
      <c r="B6" s="204"/>
      <c r="C6" s="205"/>
      <c r="D6" s="205"/>
      <c r="E6" s="205" t="s">
        <v>203</v>
      </c>
      <c r="F6" s="205"/>
      <c r="G6" s="205"/>
      <c r="H6" s="205"/>
      <c r="I6" s="206"/>
      <c r="J6" s="206"/>
      <c r="K6" s="206"/>
      <c r="L6" s="207" t="s">
        <v>9</v>
      </c>
      <c r="M6" s="203" t="str">
        <f>'Mileage Detail'!M6</f>
        <v>SB65 XCW</v>
      </c>
      <c r="N6" s="208">
        <f ca="1">TODAY()</f>
        <v>46043</v>
      </c>
      <c r="O6" s="203"/>
    </row>
    <row r="7" spans="1:15" ht="15" customHeight="1" x14ac:dyDescent="0.15">
      <c r="A7" s="204"/>
      <c r="B7" s="204"/>
      <c r="C7" s="205"/>
      <c r="D7" s="205"/>
      <c r="E7" s="205"/>
      <c r="F7" s="205"/>
      <c r="G7" s="205"/>
      <c r="H7" s="205"/>
      <c r="I7" s="206"/>
      <c r="J7" s="206"/>
      <c r="K7" s="206"/>
      <c r="L7" s="207"/>
      <c r="M7" s="207"/>
      <c r="N7" s="208"/>
      <c r="O7" s="203"/>
    </row>
    <row r="8" spans="1:15" ht="20" customHeight="1" x14ac:dyDescent="0.15">
      <c r="A8" s="198" t="s">
        <v>10</v>
      </c>
      <c r="B8" s="202" t="s">
        <v>11</v>
      </c>
      <c r="C8" s="198" t="s">
        <v>12</v>
      </c>
      <c r="D8" s="198"/>
      <c r="E8" s="198" t="s">
        <v>13</v>
      </c>
      <c r="F8" s="198" t="s">
        <v>14</v>
      </c>
      <c r="G8" s="198" t="s">
        <v>15</v>
      </c>
      <c r="H8" s="198" t="s">
        <v>16</v>
      </c>
      <c r="I8" s="198" t="s">
        <v>17</v>
      </c>
      <c r="J8" s="198" t="s">
        <v>18</v>
      </c>
      <c r="K8" s="198" t="s">
        <v>19</v>
      </c>
      <c r="L8" s="198" t="s">
        <v>20</v>
      </c>
      <c r="M8" s="199" t="s">
        <v>21</v>
      </c>
      <c r="N8" s="198" t="s">
        <v>22</v>
      </c>
      <c r="O8" s="200" t="s">
        <v>23</v>
      </c>
    </row>
    <row r="9" spans="1:15" ht="20" customHeight="1" x14ac:dyDescent="0.15">
      <c r="A9" s="198"/>
      <c r="B9" s="198"/>
      <c r="C9" s="198"/>
      <c r="D9" s="198"/>
      <c r="E9" s="198"/>
      <c r="F9" s="198"/>
      <c r="G9" s="198"/>
      <c r="H9" s="198"/>
      <c r="I9" s="198"/>
      <c r="J9" s="198"/>
      <c r="K9" s="198"/>
      <c r="L9" s="198"/>
      <c r="M9" s="199"/>
      <c r="N9" s="198"/>
      <c r="O9" s="198"/>
    </row>
    <row r="10" spans="1:15" ht="20" customHeight="1" x14ac:dyDescent="0.15">
      <c r="A10" s="198"/>
      <c r="B10" s="198"/>
      <c r="C10" s="198"/>
      <c r="D10" s="198"/>
      <c r="E10" s="198"/>
      <c r="F10" s="198"/>
      <c r="G10" s="198"/>
      <c r="H10" s="198"/>
      <c r="I10" s="198"/>
      <c r="J10" s="198"/>
      <c r="K10" s="198"/>
      <c r="L10" s="198"/>
      <c r="M10" s="199"/>
      <c r="N10" s="198"/>
      <c r="O10" s="198"/>
    </row>
    <row r="11" spans="1:15" ht="15" customHeight="1" x14ac:dyDescent="0.15">
      <c r="A11" s="8"/>
      <c r="B11" s="8"/>
      <c r="C11" s="3" t="s">
        <v>24</v>
      </c>
      <c r="D11" s="3" t="s">
        <v>25</v>
      </c>
      <c r="E11" s="8"/>
      <c r="F11" s="9" t="s">
        <v>26</v>
      </c>
      <c r="G11" s="10" t="s">
        <v>27</v>
      </c>
      <c r="H11" s="10" t="s">
        <v>27</v>
      </c>
      <c r="I11" s="10" t="s">
        <v>27</v>
      </c>
      <c r="J11" s="10" t="s">
        <v>27</v>
      </c>
      <c r="K11" s="10" t="s">
        <v>27</v>
      </c>
      <c r="L11" s="10" t="s">
        <v>27</v>
      </c>
      <c r="M11" s="10" t="s">
        <v>27</v>
      </c>
      <c r="N11" s="9" t="s">
        <v>27</v>
      </c>
      <c r="O11" s="11" t="s">
        <v>26</v>
      </c>
    </row>
    <row r="12" spans="1:15" ht="15" customHeight="1" x14ac:dyDescent="0.15">
      <c r="A12" s="12"/>
      <c r="B12" s="13"/>
      <c r="C12" s="14"/>
      <c r="D12" s="14"/>
      <c r="E12" s="12"/>
      <c r="F12" s="12"/>
      <c r="G12" s="15">
        <v>0</v>
      </c>
      <c r="H12" s="21">
        <f t="shared" ref="H12:H18" si="0">IF($E12=B$74,ROUND((G12*(1/6)),2),0)</f>
        <v>0</v>
      </c>
      <c r="I12" s="16">
        <f t="shared" ref="I12:I38" si="1">IF($A12="s",ROUND((+$G12-$H12),2),0)</f>
        <v>0</v>
      </c>
      <c r="J12" s="16">
        <f t="shared" ref="J12:J38" si="2">IF($A12="t",ROUND((+$G12-$H12),2),0)</f>
        <v>0</v>
      </c>
      <c r="K12" s="16">
        <f t="shared" ref="K12:K38" si="3">IF($A12="e",ROUND((+$G12-$H12),2),0)</f>
        <v>0</v>
      </c>
      <c r="L12" s="16">
        <f t="shared" ref="L12:L38" si="4">IF($A12="es",ROUND((+$G12-$H12),2),0)</f>
        <v>0</v>
      </c>
      <c r="M12" s="16">
        <f t="shared" ref="M12:M38" si="5">IF($A12="pf",ROUND((+$G12-$H12),2),0)</f>
        <v>0</v>
      </c>
      <c r="N12" s="16">
        <f t="shared" ref="N12:N38" si="6">IF($A12="o",ROUND((+$G12-$H12),2),0)</f>
        <v>0</v>
      </c>
      <c r="O12" s="17"/>
    </row>
    <row r="13" spans="1:15" ht="15" customHeight="1" x14ac:dyDescent="0.15">
      <c r="A13" s="18"/>
      <c r="B13" s="13"/>
      <c r="C13" s="14"/>
      <c r="D13" s="19"/>
      <c r="E13" s="12"/>
      <c r="F13" s="18"/>
      <c r="G13" s="15">
        <v>0</v>
      </c>
      <c r="H13" s="21">
        <f t="shared" si="0"/>
        <v>0</v>
      </c>
      <c r="I13" s="21">
        <f t="shared" si="1"/>
        <v>0</v>
      </c>
      <c r="J13" s="21">
        <f t="shared" si="2"/>
        <v>0</v>
      </c>
      <c r="K13" s="21">
        <f t="shared" si="3"/>
        <v>0</v>
      </c>
      <c r="L13" s="21">
        <f t="shared" si="4"/>
        <v>0</v>
      </c>
      <c r="M13" s="21">
        <f t="shared" si="5"/>
        <v>0</v>
      </c>
      <c r="N13" s="21">
        <f t="shared" si="6"/>
        <v>0</v>
      </c>
      <c r="O13" s="17"/>
    </row>
    <row r="14" spans="1:15" ht="15" customHeight="1" x14ac:dyDescent="0.15">
      <c r="A14" s="18"/>
      <c r="B14" s="13"/>
      <c r="C14" s="19"/>
      <c r="D14" s="19"/>
      <c r="E14" s="12"/>
      <c r="F14" s="18"/>
      <c r="G14" s="15">
        <v>0</v>
      </c>
      <c r="H14" s="21">
        <f t="shared" si="0"/>
        <v>0</v>
      </c>
      <c r="I14" s="21">
        <f t="shared" si="1"/>
        <v>0</v>
      </c>
      <c r="J14" s="21">
        <f t="shared" si="2"/>
        <v>0</v>
      </c>
      <c r="K14" s="21">
        <f t="shared" si="3"/>
        <v>0</v>
      </c>
      <c r="L14" s="21">
        <f t="shared" si="4"/>
        <v>0</v>
      </c>
      <c r="M14" s="21">
        <f t="shared" si="5"/>
        <v>0</v>
      </c>
      <c r="N14" s="21">
        <f t="shared" si="6"/>
        <v>0</v>
      </c>
      <c r="O14" s="17"/>
    </row>
    <row r="15" spans="1:15" ht="15" customHeight="1" x14ac:dyDescent="0.15">
      <c r="A15" s="18"/>
      <c r="B15" s="13"/>
      <c r="C15" s="19"/>
      <c r="D15" s="19"/>
      <c r="E15" s="12"/>
      <c r="F15" s="18"/>
      <c r="G15" s="15">
        <v>0</v>
      </c>
      <c r="H15" s="21">
        <f t="shared" si="0"/>
        <v>0</v>
      </c>
      <c r="I15" s="21">
        <f t="shared" si="1"/>
        <v>0</v>
      </c>
      <c r="J15" s="21">
        <f t="shared" si="2"/>
        <v>0</v>
      </c>
      <c r="K15" s="21">
        <f t="shared" si="3"/>
        <v>0</v>
      </c>
      <c r="L15" s="21">
        <f t="shared" si="4"/>
        <v>0</v>
      </c>
      <c r="M15" s="21">
        <f t="shared" si="5"/>
        <v>0</v>
      </c>
      <c r="N15" s="21">
        <f t="shared" si="6"/>
        <v>0</v>
      </c>
      <c r="O15" s="17"/>
    </row>
    <row r="16" spans="1:15" ht="15" customHeight="1" x14ac:dyDescent="0.15">
      <c r="A16" s="18"/>
      <c r="B16" s="13"/>
      <c r="C16" s="19"/>
      <c r="D16" s="19"/>
      <c r="E16" s="12"/>
      <c r="F16" s="18"/>
      <c r="G16" s="15">
        <v>0</v>
      </c>
      <c r="H16" s="21">
        <f t="shared" si="0"/>
        <v>0</v>
      </c>
      <c r="I16" s="21">
        <f t="shared" si="1"/>
        <v>0</v>
      </c>
      <c r="J16" s="21">
        <f t="shared" si="2"/>
        <v>0</v>
      </c>
      <c r="K16" s="21">
        <f t="shared" si="3"/>
        <v>0</v>
      </c>
      <c r="L16" s="21">
        <f t="shared" si="4"/>
        <v>0</v>
      </c>
      <c r="M16" s="21">
        <f t="shared" si="5"/>
        <v>0</v>
      </c>
      <c r="N16" s="21">
        <f t="shared" si="6"/>
        <v>0</v>
      </c>
      <c r="O16" s="17"/>
    </row>
    <row r="17" spans="1:15" ht="15" customHeight="1" x14ac:dyDescent="0.15">
      <c r="A17" s="18"/>
      <c r="B17" s="13"/>
      <c r="C17" s="19"/>
      <c r="D17" s="19"/>
      <c r="E17" s="12"/>
      <c r="F17" s="18"/>
      <c r="G17" s="15">
        <v>0</v>
      </c>
      <c r="H17" s="21">
        <f t="shared" si="0"/>
        <v>0</v>
      </c>
      <c r="I17" s="21">
        <f t="shared" si="1"/>
        <v>0</v>
      </c>
      <c r="J17" s="21">
        <f t="shared" si="2"/>
        <v>0</v>
      </c>
      <c r="K17" s="21">
        <f t="shared" si="3"/>
        <v>0</v>
      </c>
      <c r="L17" s="21">
        <f t="shared" si="4"/>
        <v>0</v>
      </c>
      <c r="M17" s="21">
        <f t="shared" si="5"/>
        <v>0</v>
      </c>
      <c r="N17" s="21">
        <f t="shared" si="6"/>
        <v>0</v>
      </c>
      <c r="O17" s="17"/>
    </row>
    <row r="18" spans="1:15" ht="15" customHeight="1" x14ac:dyDescent="0.15">
      <c r="A18" s="18"/>
      <c r="B18" s="22"/>
      <c r="C18" s="19"/>
      <c r="D18" s="19"/>
      <c r="E18" s="12"/>
      <c r="F18" s="18"/>
      <c r="G18" s="15">
        <v>0</v>
      </c>
      <c r="H18" s="21">
        <f t="shared" si="0"/>
        <v>0</v>
      </c>
      <c r="I18" s="21">
        <f t="shared" si="1"/>
        <v>0</v>
      </c>
      <c r="J18" s="21">
        <f t="shared" si="2"/>
        <v>0</v>
      </c>
      <c r="K18" s="21">
        <f t="shared" si="3"/>
        <v>0</v>
      </c>
      <c r="L18" s="21">
        <f t="shared" si="4"/>
        <v>0</v>
      </c>
      <c r="M18" s="21">
        <f t="shared" si="5"/>
        <v>0</v>
      </c>
      <c r="N18" s="21">
        <f t="shared" si="6"/>
        <v>0</v>
      </c>
      <c r="O18" s="17"/>
    </row>
    <row r="19" spans="1:15" ht="15" customHeight="1" x14ac:dyDescent="0.15">
      <c r="A19" s="18"/>
      <c r="B19" s="22"/>
      <c r="C19" s="19"/>
      <c r="D19" s="19"/>
      <c r="E19" s="12"/>
      <c r="F19" s="18"/>
      <c r="G19" s="15">
        <v>0</v>
      </c>
      <c r="H19" s="21">
        <f t="shared" ref="H19:H36" si="7">IF($E19=B$74,ROUND((G19*(1/6)),2),0)</f>
        <v>0</v>
      </c>
      <c r="I19" s="21">
        <f t="shared" si="1"/>
        <v>0</v>
      </c>
      <c r="J19" s="21">
        <f t="shared" si="2"/>
        <v>0</v>
      </c>
      <c r="K19" s="21">
        <f t="shared" si="3"/>
        <v>0</v>
      </c>
      <c r="L19" s="21">
        <f t="shared" si="4"/>
        <v>0</v>
      </c>
      <c r="M19" s="21">
        <f t="shared" si="5"/>
        <v>0</v>
      </c>
      <c r="N19" s="21">
        <f t="shared" si="6"/>
        <v>0</v>
      </c>
      <c r="O19" s="17"/>
    </row>
    <row r="20" spans="1:15" ht="15" customHeight="1" x14ac:dyDescent="0.15">
      <c r="A20" s="18"/>
      <c r="B20" s="22"/>
      <c r="C20" s="19"/>
      <c r="D20" s="19"/>
      <c r="E20" s="12"/>
      <c r="F20" s="18"/>
      <c r="G20" s="15">
        <v>0</v>
      </c>
      <c r="H20" s="21">
        <f t="shared" si="7"/>
        <v>0</v>
      </c>
      <c r="I20" s="21">
        <f t="shared" si="1"/>
        <v>0</v>
      </c>
      <c r="J20" s="21">
        <f t="shared" si="2"/>
        <v>0</v>
      </c>
      <c r="K20" s="21">
        <f t="shared" si="3"/>
        <v>0</v>
      </c>
      <c r="L20" s="21">
        <f t="shared" si="4"/>
        <v>0</v>
      </c>
      <c r="M20" s="21">
        <f t="shared" si="5"/>
        <v>0</v>
      </c>
      <c r="N20" s="21">
        <f t="shared" si="6"/>
        <v>0</v>
      </c>
      <c r="O20" s="17"/>
    </row>
    <row r="21" spans="1:15" ht="15" customHeight="1" x14ac:dyDescent="0.15">
      <c r="A21" s="18"/>
      <c r="B21" s="22"/>
      <c r="C21" s="19"/>
      <c r="D21" s="19"/>
      <c r="E21" s="12"/>
      <c r="F21" s="18"/>
      <c r="G21" s="15">
        <v>0</v>
      </c>
      <c r="H21" s="21">
        <f t="shared" si="7"/>
        <v>0</v>
      </c>
      <c r="I21" s="21">
        <f t="shared" si="1"/>
        <v>0</v>
      </c>
      <c r="J21" s="21">
        <f t="shared" si="2"/>
        <v>0</v>
      </c>
      <c r="K21" s="21">
        <f t="shared" si="3"/>
        <v>0</v>
      </c>
      <c r="L21" s="21">
        <f t="shared" si="4"/>
        <v>0</v>
      </c>
      <c r="M21" s="21">
        <f t="shared" si="5"/>
        <v>0</v>
      </c>
      <c r="N21" s="21">
        <f t="shared" si="6"/>
        <v>0</v>
      </c>
      <c r="O21" s="17"/>
    </row>
    <row r="22" spans="1:15" ht="15" customHeight="1" x14ac:dyDescent="0.15">
      <c r="A22" s="18"/>
      <c r="B22" s="22"/>
      <c r="C22" s="19"/>
      <c r="D22" s="19"/>
      <c r="E22" s="12"/>
      <c r="F22" s="18"/>
      <c r="G22" s="15">
        <v>0</v>
      </c>
      <c r="H22" s="21">
        <f t="shared" si="7"/>
        <v>0</v>
      </c>
      <c r="I22" s="21">
        <f t="shared" si="1"/>
        <v>0</v>
      </c>
      <c r="J22" s="21">
        <f t="shared" si="2"/>
        <v>0</v>
      </c>
      <c r="K22" s="21">
        <f t="shared" si="3"/>
        <v>0</v>
      </c>
      <c r="L22" s="21">
        <f t="shared" si="4"/>
        <v>0</v>
      </c>
      <c r="M22" s="21">
        <f t="shared" si="5"/>
        <v>0</v>
      </c>
      <c r="N22" s="21">
        <f t="shared" si="6"/>
        <v>0</v>
      </c>
      <c r="O22" s="17"/>
    </row>
    <row r="23" spans="1:15" ht="15" customHeight="1" x14ac:dyDescent="0.15">
      <c r="A23" s="18"/>
      <c r="B23" s="22"/>
      <c r="C23" s="19"/>
      <c r="D23" s="19"/>
      <c r="E23" s="12"/>
      <c r="F23" s="18"/>
      <c r="G23" s="15">
        <v>0</v>
      </c>
      <c r="H23" s="21">
        <f t="shared" si="7"/>
        <v>0</v>
      </c>
      <c r="I23" s="21">
        <f t="shared" si="1"/>
        <v>0</v>
      </c>
      <c r="J23" s="21">
        <f t="shared" si="2"/>
        <v>0</v>
      </c>
      <c r="K23" s="21">
        <f t="shared" si="3"/>
        <v>0</v>
      </c>
      <c r="L23" s="21">
        <f t="shared" si="4"/>
        <v>0</v>
      </c>
      <c r="M23" s="21">
        <f t="shared" si="5"/>
        <v>0</v>
      </c>
      <c r="N23" s="21">
        <f t="shared" si="6"/>
        <v>0</v>
      </c>
      <c r="O23" s="17"/>
    </row>
    <row r="24" spans="1:15" ht="15" customHeight="1" x14ac:dyDescent="0.15">
      <c r="A24" s="18"/>
      <c r="B24" s="22"/>
      <c r="C24" s="19"/>
      <c r="D24" s="19"/>
      <c r="E24" s="12"/>
      <c r="F24" s="18"/>
      <c r="G24" s="15">
        <v>0</v>
      </c>
      <c r="H24" s="21">
        <f t="shared" si="7"/>
        <v>0</v>
      </c>
      <c r="I24" s="21">
        <f t="shared" si="1"/>
        <v>0</v>
      </c>
      <c r="J24" s="21">
        <f t="shared" si="2"/>
        <v>0</v>
      </c>
      <c r="K24" s="21">
        <f t="shared" si="3"/>
        <v>0</v>
      </c>
      <c r="L24" s="21">
        <f t="shared" si="4"/>
        <v>0</v>
      </c>
      <c r="M24" s="21">
        <f t="shared" si="5"/>
        <v>0</v>
      </c>
      <c r="N24" s="21">
        <f t="shared" si="6"/>
        <v>0</v>
      </c>
      <c r="O24" s="17"/>
    </row>
    <row r="25" spans="1:15" ht="15" customHeight="1" x14ac:dyDescent="0.15">
      <c r="A25" s="18"/>
      <c r="B25" s="22"/>
      <c r="C25" s="19"/>
      <c r="D25" s="19"/>
      <c r="E25" s="12"/>
      <c r="F25" s="18"/>
      <c r="G25" s="15">
        <v>0</v>
      </c>
      <c r="H25" s="21">
        <f t="shared" si="7"/>
        <v>0</v>
      </c>
      <c r="I25" s="21">
        <f t="shared" si="1"/>
        <v>0</v>
      </c>
      <c r="J25" s="21">
        <f t="shared" si="2"/>
        <v>0</v>
      </c>
      <c r="K25" s="21">
        <f t="shared" si="3"/>
        <v>0</v>
      </c>
      <c r="L25" s="21">
        <f t="shared" si="4"/>
        <v>0</v>
      </c>
      <c r="M25" s="21">
        <f t="shared" si="5"/>
        <v>0</v>
      </c>
      <c r="N25" s="21">
        <f t="shared" si="6"/>
        <v>0</v>
      </c>
      <c r="O25" s="17"/>
    </row>
    <row r="26" spans="1:15" ht="15" customHeight="1" x14ac:dyDescent="0.15">
      <c r="A26" s="18"/>
      <c r="B26" s="22"/>
      <c r="C26" s="19"/>
      <c r="D26" s="19"/>
      <c r="E26" s="12"/>
      <c r="F26" s="18"/>
      <c r="G26" s="15">
        <v>0</v>
      </c>
      <c r="H26" s="21">
        <f t="shared" si="7"/>
        <v>0</v>
      </c>
      <c r="I26" s="21">
        <f t="shared" si="1"/>
        <v>0</v>
      </c>
      <c r="J26" s="21">
        <f t="shared" si="2"/>
        <v>0</v>
      </c>
      <c r="K26" s="21">
        <f t="shared" si="3"/>
        <v>0</v>
      </c>
      <c r="L26" s="21">
        <f t="shared" si="4"/>
        <v>0</v>
      </c>
      <c r="M26" s="21">
        <f t="shared" si="5"/>
        <v>0</v>
      </c>
      <c r="N26" s="21">
        <f t="shared" si="6"/>
        <v>0</v>
      </c>
      <c r="O26" s="17"/>
    </row>
    <row r="27" spans="1:15" ht="15" customHeight="1" x14ac:dyDescent="0.15">
      <c r="A27" s="18"/>
      <c r="B27" s="22"/>
      <c r="C27" s="19"/>
      <c r="D27" s="19"/>
      <c r="E27" s="12"/>
      <c r="F27" s="18"/>
      <c r="G27" s="15">
        <v>0</v>
      </c>
      <c r="H27" s="21">
        <f t="shared" si="7"/>
        <v>0</v>
      </c>
      <c r="I27" s="21">
        <f t="shared" si="1"/>
        <v>0</v>
      </c>
      <c r="J27" s="21">
        <f t="shared" si="2"/>
        <v>0</v>
      </c>
      <c r="K27" s="21">
        <f t="shared" si="3"/>
        <v>0</v>
      </c>
      <c r="L27" s="21">
        <f t="shared" si="4"/>
        <v>0</v>
      </c>
      <c r="M27" s="21">
        <f t="shared" si="5"/>
        <v>0</v>
      </c>
      <c r="N27" s="21">
        <f t="shared" si="6"/>
        <v>0</v>
      </c>
      <c r="O27" s="17"/>
    </row>
    <row r="28" spans="1:15" ht="15" customHeight="1" x14ac:dyDescent="0.15">
      <c r="A28" s="18"/>
      <c r="B28" s="22"/>
      <c r="C28" s="19"/>
      <c r="D28" s="19"/>
      <c r="E28" s="12"/>
      <c r="F28" s="18"/>
      <c r="G28" s="15">
        <v>0</v>
      </c>
      <c r="H28" s="21">
        <f t="shared" si="7"/>
        <v>0</v>
      </c>
      <c r="I28" s="21">
        <f t="shared" si="1"/>
        <v>0</v>
      </c>
      <c r="J28" s="21">
        <f t="shared" si="2"/>
        <v>0</v>
      </c>
      <c r="K28" s="21">
        <f t="shared" si="3"/>
        <v>0</v>
      </c>
      <c r="L28" s="21">
        <f t="shared" si="4"/>
        <v>0</v>
      </c>
      <c r="M28" s="21">
        <f t="shared" si="5"/>
        <v>0</v>
      </c>
      <c r="N28" s="21">
        <f t="shared" si="6"/>
        <v>0</v>
      </c>
      <c r="O28" s="17"/>
    </row>
    <row r="29" spans="1:15" ht="15" customHeight="1" x14ac:dyDescent="0.15">
      <c r="A29" s="18"/>
      <c r="B29" s="22"/>
      <c r="C29" s="19"/>
      <c r="D29" s="19"/>
      <c r="E29" s="12"/>
      <c r="F29" s="18"/>
      <c r="G29" s="15">
        <v>0</v>
      </c>
      <c r="H29" s="21">
        <f t="shared" si="7"/>
        <v>0</v>
      </c>
      <c r="I29" s="21">
        <f t="shared" si="1"/>
        <v>0</v>
      </c>
      <c r="J29" s="21">
        <f t="shared" si="2"/>
        <v>0</v>
      </c>
      <c r="K29" s="21">
        <f t="shared" si="3"/>
        <v>0</v>
      </c>
      <c r="L29" s="21">
        <f t="shared" si="4"/>
        <v>0</v>
      </c>
      <c r="M29" s="21">
        <f t="shared" si="5"/>
        <v>0</v>
      </c>
      <c r="N29" s="21">
        <f t="shared" si="6"/>
        <v>0</v>
      </c>
      <c r="O29" s="17"/>
    </row>
    <row r="30" spans="1:15" ht="15" customHeight="1" x14ac:dyDescent="0.15">
      <c r="A30" s="18"/>
      <c r="B30" s="22"/>
      <c r="C30" s="19"/>
      <c r="D30" s="19"/>
      <c r="E30" s="12"/>
      <c r="F30" s="18"/>
      <c r="G30" s="15">
        <v>0</v>
      </c>
      <c r="H30" s="21">
        <f t="shared" si="7"/>
        <v>0</v>
      </c>
      <c r="I30" s="21">
        <f t="shared" si="1"/>
        <v>0</v>
      </c>
      <c r="J30" s="21">
        <f t="shared" si="2"/>
        <v>0</v>
      </c>
      <c r="K30" s="21">
        <f t="shared" si="3"/>
        <v>0</v>
      </c>
      <c r="L30" s="21">
        <f t="shared" si="4"/>
        <v>0</v>
      </c>
      <c r="M30" s="21">
        <f t="shared" si="5"/>
        <v>0</v>
      </c>
      <c r="N30" s="21">
        <f t="shared" si="6"/>
        <v>0</v>
      </c>
      <c r="O30" s="17"/>
    </row>
    <row r="31" spans="1:15" ht="15" customHeight="1" x14ac:dyDescent="0.15">
      <c r="A31" s="18"/>
      <c r="B31" s="22"/>
      <c r="C31" s="19"/>
      <c r="D31" s="19"/>
      <c r="E31" s="12"/>
      <c r="F31" s="18"/>
      <c r="G31" s="20">
        <v>0</v>
      </c>
      <c r="H31" s="21">
        <f t="shared" si="7"/>
        <v>0</v>
      </c>
      <c r="I31" s="21">
        <f t="shared" si="1"/>
        <v>0</v>
      </c>
      <c r="J31" s="21">
        <f t="shared" si="2"/>
        <v>0</v>
      </c>
      <c r="K31" s="21">
        <f t="shared" si="3"/>
        <v>0</v>
      </c>
      <c r="L31" s="21">
        <f t="shared" si="4"/>
        <v>0</v>
      </c>
      <c r="M31" s="21">
        <f t="shared" si="5"/>
        <v>0</v>
      </c>
      <c r="N31" s="21">
        <f t="shared" si="6"/>
        <v>0</v>
      </c>
      <c r="O31" s="17"/>
    </row>
    <row r="32" spans="1:15" ht="15" customHeight="1" x14ac:dyDescent="0.15">
      <c r="A32" s="18"/>
      <c r="B32" s="22"/>
      <c r="C32" s="19"/>
      <c r="D32" s="19"/>
      <c r="E32" s="12"/>
      <c r="F32" s="18"/>
      <c r="G32" s="20">
        <v>0</v>
      </c>
      <c r="H32" s="21">
        <f t="shared" si="7"/>
        <v>0</v>
      </c>
      <c r="I32" s="21">
        <f t="shared" si="1"/>
        <v>0</v>
      </c>
      <c r="J32" s="21">
        <f t="shared" si="2"/>
        <v>0</v>
      </c>
      <c r="K32" s="21">
        <f t="shared" si="3"/>
        <v>0</v>
      </c>
      <c r="L32" s="21">
        <f t="shared" si="4"/>
        <v>0</v>
      </c>
      <c r="M32" s="21">
        <f t="shared" si="5"/>
        <v>0</v>
      </c>
      <c r="N32" s="21">
        <f t="shared" si="6"/>
        <v>0</v>
      </c>
      <c r="O32" s="17"/>
    </row>
    <row r="33" spans="1:15" ht="15" customHeight="1" x14ac:dyDescent="0.15">
      <c r="A33" s="18"/>
      <c r="B33" s="22"/>
      <c r="C33" s="19"/>
      <c r="D33" s="19"/>
      <c r="E33" s="12"/>
      <c r="F33" s="18"/>
      <c r="G33" s="20">
        <v>0</v>
      </c>
      <c r="H33" s="21">
        <f t="shared" si="7"/>
        <v>0</v>
      </c>
      <c r="I33" s="21">
        <f t="shared" si="1"/>
        <v>0</v>
      </c>
      <c r="J33" s="21">
        <f t="shared" si="2"/>
        <v>0</v>
      </c>
      <c r="K33" s="21">
        <f t="shared" si="3"/>
        <v>0</v>
      </c>
      <c r="L33" s="21">
        <f t="shared" si="4"/>
        <v>0</v>
      </c>
      <c r="M33" s="21">
        <f t="shared" si="5"/>
        <v>0</v>
      </c>
      <c r="N33" s="21">
        <f t="shared" si="6"/>
        <v>0</v>
      </c>
      <c r="O33" s="17"/>
    </row>
    <row r="34" spans="1:15" ht="15" customHeight="1" x14ac:dyDescent="0.15">
      <c r="A34" s="18"/>
      <c r="B34" s="22"/>
      <c r="C34" s="19"/>
      <c r="D34" s="19"/>
      <c r="E34" s="12"/>
      <c r="F34" s="18"/>
      <c r="G34" s="20">
        <v>0</v>
      </c>
      <c r="H34" s="21">
        <f t="shared" si="7"/>
        <v>0</v>
      </c>
      <c r="I34" s="21">
        <f t="shared" si="1"/>
        <v>0</v>
      </c>
      <c r="J34" s="21">
        <f t="shared" si="2"/>
        <v>0</v>
      </c>
      <c r="K34" s="21">
        <f t="shared" si="3"/>
        <v>0</v>
      </c>
      <c r="L34" s="21">
        <f t="shared" si="4"/>
        <v>0</v>
      </c>
      <c r="M34" s="21">
        <f t="shared" si="5"/>
        <v>0</v>
      </c>
      <c r="N34" s="21">
        <f t="shared" si="6"/>
        <v>0</v>
      </c>
      <c r="O34" s="17"/>
    </row>
    <row r="35" spans="1:15" ht="15" customHeight="1" x14ac:dyDescent="0.15">
      <c r="A35" s="18"/>
      <c r="B35" s="22"/>
      <c r="C35" s="19"/>
      <c r="D35" s="19"/>
      <c r="E35" s="12"/>
      <c r="F35" s="18"/>
      <c r="G35" s="20">
        <v>0</v>
      </c>
      <c r="H35" s="21">
        <f t="shared" si="7"/>
        <v>0</v>
      </c>
      <c r="I35" s="21">
        <f t="shared" si="1"/>
        <v>0</v>
      </c>
      <c r="J35" s="21">
        <f t="shared" si="2"/>
        <v>0</v>
      </c>
      <c r="K35" s="21">
        <f t="shared" si="3"/>
        <v>0</v>
      </c>
      <c r="L35" s="21">
        <f t="shared" si="4"/>
        <v>0</v>
      </c>
      <c r="M35" s="21">
        <f t="shared" si="5"/>
        <v>0</v>
      </c>
      <c r="N35" s="21">
        <f t="shared" si="6"/>
        <v>0</v>
      </c>
      <c r="O35" s="17"/>
    </row>
    <row r="36" spans="1:15" ht="15" customHeight="1" x14ac:dyDescent="0.15">
      <c r="A36" s="18"/>
      <c r="B36" s="22"/>
      <c r="C36" s="19"/>
      <c r="D36" s="19"/>
      <c r="E36" s="12"/>
      <c r="F36" s="18"/>
      <c r="G36" s="20">
        <v>0</v>
      </c>
      <c r="H36" s="21">
        <f t="shared" si="7"/>
        <v>0</v>
      </c>
      <c r="I36" s="21">
        <f t="shared" si="1"/>
        <v>0</v>
      </c>
      <c r="J36" s="21">
        <f t="shared" si="2"/>
        <v>0</v>
      </c>
      <c r="K36" s="21">
        <f t="shared" si="3"/>
        <v>0</v>
      </c>
      <c r="L36" s="21">
        <f t="shared" si="4"/>
        <v>0</v>
      </c>
      <c r="M36" s="21">
        <f t="shared" si="5"/>
        <v>0</v>
      </c>
      <c r="N36" s="21">
        <f t="shared" si="6"/>
        <v>0</v>
      </c>
      <c r="O36" s="17"/>
    </row>
    <row r="37" spans="1:15" ht="15" customHeight="1" x14ac:dyDescent="0.15">
      <c r="A37" s="23" t="s">
        <v>28</v>
      </c>
      <c r="B37" s="22"/>
      <c r="C37" s="24" t="s">
        <v>29</v>
      </c>
      <c r="D37" s="25"/>
      <c r="E37" s="23" t="str">
        <f>IF(B49="yes","P98",IF(B53=0.45,"P99","P10"))</f>
        <v>P99</v>
      </c>
      <c r="F37" s="18"/>
      <c r="G37" s="21">
        <f>B54</f>
        <v>0</v>
      </c>
      <c r="H37" s="21">
        <f>IF($E37=B74,ROUND((G37*(1/6)),2),IF($E37=B75,ROUND(B54-(B54/1.05882),2),IF($E37=B76,ROUND(B54-(B54/1.11111),2),0)))</f>
        <v>0</v>
      </c>
      <c r="I37" s="21">
        <f t="shared" si="1"/>
        <v>0</v>
      </c>
      <c r="J37" s="21">
        <f t="shared" si="2"/>
        <v>0</v>
      </c>
      <c r="K37" s="21">
        <f t="shared" si="3"/>
        <v>0</v>
      </c>
      <c r="L37" s="21">
        <f t="shared" si="4"/>
        <v>0</v>
      </c>
      <c r="M37" s="21">
        <f t="shared" si="5"/>
        <v>0</v>
      </c>
      <c r="N37" s="21">
        <f t="shared" si="6"/>
        <v>0</v>
      </c>
      <c r="O37" s="17"/>
    </row>
    <row r="38" spans="1:15" ht="15" customHeight="1" x14ac:dyDescent="0.15">
      <c r="A38" s="26" t="s">
        <v>28</v>
      </c>
      <c r="B38" s="27"/>
      <c r="C38" s="24" t="s">
        <v>30</v>
      </c>
      <c r="D38" s="28"/>
      <c r="E38" s="26" t="s">
        <v>31</v>
      </c>
      <c r="F38" s="26"/>
      <c r="G38" s="29">
        <f>'Mileage Detail'!J37</f>
        <v>0</v>
      </c>
      <c r="H38" s="29">
        <f>IF($E38=B74,ROUND((G38*(1/6)),2),0)</f>
        <v>0</v>
      </c>
      <c r="I38" s="29">
        <f t="shared" si="1"/>
        <v>0</v>
      </c>
      <c r="J38" s="29">
        <f t="shared" si="2"/>
        <v>0</v>
      </c>
      <c r="K38" s="29">
        <f t="shared" si="3"/>
        <v>0</v>
      </c>
      <c r="L38" s="29">
        <f t="shared" si="4"/>
        <v>0</v>
      </c>
      <c r="M38" s="29">
        <f t="shared" si="5"/>
        <v>0</v>
      </c>
      <c r="N38" s="29">
        <f t="shared" si="6"/>
        <v>0</v>
      </c>
      <c r="O38" s="17"/>
    </row>
    <row r="39" spans="1:15" ht="15" customHeight="1" x14ac:dyDescent="0.15">
      <c r="A39" s="26"/>
      <c r="B39" s="27"/>
      <c r="C39" s="28"/>
      <c r="D39" s="28"/>
      <c r="E39" s="26"/>
      <c r="F39" s="26"/>
      <c r="G39" s="29"/>
      <c r="H39" s="29"/>
      <c r="I39" s="29"/>
      <c r="J39" s="29"/>
      <c r="K39" s="29"/>
      <c r="L39" s="29"/>
      <c r="M39" s="29"/>
      <c r="N39" s="29"/>
      <c r="O39" s="17"/>
    </row>
    <row r="40" spans="1:15" ht="15" customHeight="1" x14ac:dyDescent="0.15">
      <c r="A40" s="26"/>
      <c r="B40" s="27"/>
      <c r="C40" s="24" t="s">
        <v>32</v>
      </c>
      <c r="D40" s="28"/>
      <c r="E40" s="26"/>
      <c r="F40" s="26"/>
      <c r="G40" s="29">
        <f>'Expense Form Extra Rows'!G52</f>
        <v>0</v>
      </c>
      <c r="H40" s="29">
        <f>'Expense Form Extra Rows'!H52</f>
        <v>0</v>
      </c>
      <c r="I40" s="29">
        <f>'Expense Form Extra Rows'!I52</f>
        <v>0</v>
      </c>
      <c r="J40" s="29">
        <f>'Expense Form Extra Rows'!J52</f>
        <v>0</v>
      </c>
      <c r="K40" s="29">
        <f>'Expense Form Extra Rows'!K52</f>
        <v>0</v>
      </c>
      <c r="L40" s="29">
        <f>'Expense Form Extra Rows'!L52</f>
        <v>0</v>
      </c>
      <c r="M40" s="29">
        <f>'Expense Form Extra Rows'!M52</f>
        <v>0</v>
      </c>
      <c r="N40" s="29">
        <f>'Expense Form Extra Rows'!N52</f>
        <v>0</v>
      </c>
      <c r="O40" s="17"/>
    </row>
    <row r="41" spans="1:15" ht="15" customHeight="1" x14ac:dyDescent="0.15">
      <c r="A41" s="30"/>
      <c r="B41" s="31"/>
      <c r="C41" s="32"/>
      <c r="D41" s="32"/>
      <c r="E41" s="30"/>
      <c r="F41" s="30"/>
      <c r="G41" s="33"/>
      <c r="H41" s="33">
        <f>IF($E41=B74,ROUND((G41*(1/6)),2),0)</f>
        <v>0</v>
      </c>
      <c r="I41" s="33">
        <f>IF($A41="s",ROUND((+$G41-$H41),2),0)</f>
        <v>0</v>
      </c>
      <c r="J41" s="33">
        <f>IF($A41="t",ROUND((+$G41-$H41),2),0)</f>
        <v>0</v>
      </c>
      <c r="K41" s="33">
        <f>IF($A41="e",ROUND((+$G41-$H41),2),0)</f>
        <v>0</v>
      </c>
      <c r="L41" s="33">
        <f>IF($A41="es",ROUND((+$G41-$H41),2),0)</f>
        <v>0</v>
      </c>
      <c r="M41" s="33">
        <f>IF($A41="pf",ROUND((+$G41-$H41),2),0)</f>
        <v>0</v>
      </c>
      <c r="N41" s="33">
        <f>IF($A41="o",ROUND((+$G41-$H41),2),0)</f>
        <v>0</v>
      </c>
      <c r="O41" s="17"/>
    </row>
    <row r="42" spans="1:15" ht="15" customHeight="1" x14ac:dyDescent="0.15">
      <c r="A42" s="34"/>
      <c r="B42" s="35"/>
      <c r="C42" s="36"/>
      <c r="D42" s="36"/>
      <c r="E42" s="37" t="s">
        <v>33</v>
      </c>
      <c r="F42" s="38"/>
      <c r="G42" s="39">
        <f t="shared" ref="G42:N42" si="8">ROUND(SUM(G12:G41),2)</f>
        <v>0</v>
      </c>
      <c r="H42" s="39">
        <f t="shared" si="8"/>
        <v>0</v>
      </c>
      <c r="I42" s="39">
        <f t="shared" si="8"/>
        <v>0</v>
      </c>
      <c r="J42" s="39">
        <f t="shared" si="8"/>
        <v>0</v>
      </c>
      <c r="K42" s="39">
        <f t="shared" si="8"/>
        <v>0</v>
      </c>
      <c r="L42" s="39">
        <f t="shared" si="8"/>
        <v>0</v>
      </c>
      <c r="M42" s="39">
        <f t="shared" si="8"/>
        <v>0</v>
      </c>
      <c r="N42" s="39">
        <f t="shared" si="8"/>
        <v>0</v>
      </c>
      <c r="O42" s="40"/>
    </row>
    <row r="43" spans="1:15" ht="15" customHeight="1" x14ac:dyDescent="0.15">
      <c r="A43" s="41"/>
      <c r="B43" s="42"/>
      <c r="E43" s="42"/>
      <c r="F43" s="42"/>
      <c r="G43" s="201" t="s">
        <v>34</v>
      </c>
      <c r="H43" s="201"/>
      <c r="I43" s="43"/>
      <c r="J43" s="43"/>
      <c r="K43" s="43"/>
      <c r="L43" s="43" t="s">
        <v>35</v>
      </c>
      <c r="M43" s="43"/>
      <c r="N43" s="43"/>
      <c r="O43" s="44"/>
    </row>
    <row r="44" spans="1:15" ht="28.5" customHeight="1" x14ac:dyDescent="0.15">
      <c r="B44" s="192">
        <f>IF(OR(B49="no",AND(B49="yes",B54=0.25)),0,"WARNING - NON COMPANY CAR USERS WHO HAVE CLAIMED OVER 10,000 BUSINESS MILES IN A TAX YEAR MUST USE A CLAIM PER MILE RATE OF 25p")</f>
        <v>0</v>
      </c>
      <c r="C44" s="192"/>
      <c r="D44" s="192"/>
      <c r="E44" s="192"/>
      <c r="F44" s="42"/>
      <c r="G44" s="45" t="s">
        <v>36</v>
      </c>
      <c r="H44" s="46" t="s">
        <v>37</v>
      </c>
      <c r="I44" s="47">
        <v>95285</v>
      </c>
      <c r="J44" s="47">
        <v>95265</v>
      </c>
      <c r="K44" s="47">
        <v>95143</v>
      </c>
      <c r="L44" s="47">
        <v>95141</v>
      </c>
      <c r="M44" s="47">
        <v>95185</v>
      </c>
      <c r="N44" s="47">
        <v>95195</v>
      </c>
      <c r="O44" s="193" t="s">
        <v>38</v>
      </c>
    </row>
    <row r="45" spans="1:15" ht="15" customHeight="1" x14ac:dyDescent="0.15">
      <c r="A45" s="41"/>
      <c r="B45" s="192"/>
      <c r="C45" s="192"/>
      <c r="D45" s="192"/>
      <c r="E45" s="192"/>
      <c r="F45" s="42"/>
      <c r="G45" s="194">
        <f>+G42-H42-SUM(I56,J56,K58,L56,M56,N56)</f>
        <v>0</v>
      </c>
      <c r="H45" s="46" t="s">
        <v>39</v>
      </c>
      <c r="I45" s="47">
        <v>91285</v>
      </c>
      <c r="J45" s="47">
        <v>91235</v>
      </c>
      <c r="K45" s="49"/>
      <c r="L45" s="49"/>
      <c r="M45" s="49"/>
      <c r="N45" s="47" t="s">
        <v>40</v>
      </c>
      <c r="O45" s="193"/>
    </row>
    <row r="46" spans="1:15" ht="15" customHeight="1" x14ac:dyDescent="0.15">
      <c r="A46" s="41"/>
      <c r="B46" s="50"/>
      <c r="C46" s="50"/>
      <c r="D46" s="50"/>
      <c r="E46" s="50"/>
      <c r="F46" s="42"/>
      <c r="G46" s="194"/>
      <c r="H46" s="46"/>
      <c r="I46" s="47"/>
      <c r="J46" s="47"/>
      <c r="K46" s="49"/>
      <c r="L46" s="49"/>
      <c r="M46" s="49"/>
      <c r="N46" s="47"/>
      <c r="O46" s="48"/>
    </row>
    <row r="47" spans="1:15" ht="15" customHeight="1" x14ac:dyDescent="0.15">
      <c r="A47" s="5" t="s">
        <v>41</v>
      </c>
      <c r="E47" s="51"/>
      <c r="F47" s="42"/>
      <c r="G47" s="194"/>
      <c r="H47" s="46" t="s">
        <v>42</v>
      </c>
      <c r="I47" s="47">
        <v>16185</v>
      </c>
      <c r="J47" s="47">
        <v>16185</v>
      </c>
      <c r="K47" s="47">
        <v>16185</v>
      </c>
      <c r="L47" s="47">
        <v>16185</v>
      </c>
      <c r="M47" s="47">
        <v>16185</v>
      </c>
      <c r="N47" s="47">
        <v>16185</v>
      </c>
      <c r="O47" s="52"/>
    </row>
    <row r="48" spans="1:15" ht="15" customHeight="1" x14ac:dyDescent="0.15">
      <c r="A48" s="5"/>
      <c r="E48" s="51"/>
      <c r="F48" s="42"/>
      <c r="G48" s="53"/>
      <c r="H48" s="54"/>
      <c r="I48" s="55"/>
      <c r="J48" s="55"/>
      <c r="K48" s="55"/>
      <c r="L48" s="55"/>
      <c r="M48" s="55"/>
      <c r="N48" s="55"/>
      <c r="O48" s="56"/>
    </row>
    <row r="49" spans="1:15" ht="20" customHeight="1" x14ac:dyDescent="0.15">
      <c r="A49" s="184" t="s">
        <v>43</v>
      </c>
      <c r="B49" s="195" t="s">
        <v>77</v>
      </c>
      <c r="C49" s="196" t="s">
        <v>45</v>
      </c>
      <c r="D49" s="196"/>
      <c r="E49" s="196"/>
      <c r="F49" s="196"/>
      <c r="G49" s="197" t="s">
        <v>46</v>
      </c>
      <c r="H49" s="43" t="s">
        <v>31</v>
      </c>
      <c r="I49" s="58">
        <f>SUMIF($E$12:$E$39,"=P10",I$12:I$39)+'Expense Form Extra Rows'!I59</f>
        <v>0</v>
      </c>
      <c r="J49" s="59">
        <f>SUMIF($E$12:$E$39,"=P10",J$12:J$39)+'Expense Form Extra Rows'!J59</f>
        <v>0</v>
      </c>
      <c r="K49" s="60" t="s">
        <v>47</v>
      </c>
      <c r="L49" s="58">
        <f>SUMIF($E$12:$E$39,"=P10",L$12:L$39)+'Expense Form Extra Rows'!L59</f>
        <v>0</v>
      </c>
      <c r="M49" s="58">
        <f>SUMIF($E$12:$E$39,"=P10",M$12:M$39)+'Expense Form Extra Rows'!M59</f>
        <v>0</v>
      </c>
      <c r="N49" s="58">
        <f>SUMIF($E$12:$E$39,"=P10",N$12:N$39)+'Expense Form Extra Rows'!N59</f>
        <v>0</v>
      </c>
      <c r="O49" s="44">
        <f>SUM(I49:N49)</f>
        <v>0</v>
      </c>
    </row>
    <row r="50" spans="1:15" ht="20" customHeight="1" x14ac:dyDescent="0.15">
      <c r="A50" s="184"/>
      <c r="B50" s="195"/>
      <c r="C50" s="196"/>
      <c r="D50" s="196"/>
      <c r="E50" s="196"/>
      <c r="F50" s="196"/>
      <c r="G50" s="197"/>
      <c r="H50" s="23"/>
      <c r="I50" s="61"/>
      <c r="J50" s="61"/>
      <c r="K50" s="61"/>
      <c r="L50" s="61"/>
      <c r="M50" s="61"/>
      <c r="N50" s="61"/>
      <c r="O50" s="52"/>
    </row>
    <row r="51" spans="1:15" ht="20" customHeight="1" x14ac:dyDescent="0.15">
      <c r="A51" s="184" t="s">
        <v>48</v>
      </c>
      <c r="B51" s="185">
        <f>'Mileage Detail'!E37</f>
        <v>0</v>
      </c>
      <c r="C51" s="186" t="s">
        <v>49</v>
      </c>
      <c r="D51" s="186"/>
      <c r="E51" s="186"/>
      <c r="F51" s="186"/>
      <c r="G51" s="187" t="s">
        <v>50</v>
      </c>
      <c r="H51" s="23" t="s">
        <v>51</v>
      </c>
      <c r="I51" s="61"/>
      <c r="J51" s="21">
        <f>SUMIF($E$12:$E$39,"=P99",J$12:J$39)+'Expense Form Extra Rows'!J61</f>
        <v>0</v>
      </c>
      <c r="K51" s="62"/>
      <c r="L51" s="63"/>
      <c r="M51" s="63"/>
      <c r="N51" s="63"/>
      <c r="O51" s="52">
        <f t="shared" ref="O51:O56" si="9">SUM(I51:N51)</f>
        <v>0</v>
      </c>
    </row>
    <row r="52" spans="1:15" ht="20" customHeight="1" x14ac:dyDescent="0.15">
      <c r="A52" s="184"/>
      <c r="B52" s="184"/>
      <c r="C52" s="186"/>
      <c r="D52" s="186"/>
      <c r="E52" s="186"/>
      <c r="F52" s="186"/>
      <c r="G52" s="187"/>
      <c r="H52" s="23" t="s">
        <v>52</v>
      </c>
      <c r="I52" s="61"/>
      <c r="J52" s="21">
        <f>SUMIF($E$12:$E$39,"=P98",J$12:J$39)+'Expense Form Extra Rows'!J62</f>
        <v>0</v>
      </c>
      <c r="K52" s="62"/>
      <c r="L52" s="63"/>
      <c r="M52" s="63"/>
      <c r="N52" s="63"/>
      <c r="O52" s="52">
        <f t="shared" si="9"/>
        <v>0</v>
      </c>
    </row>
    <row r="53" spans="1:15" ht="30" customHeight="1" x14ac:dyDescent="0.15">
      <c r="A53" s="57" t="s">
        <v>53</v>
      </c>
      <c r="B53" s="64">
        <v>0.45</v>
      </c>
      <c r="C53" s="186"/>
      <c r="D53" s="186"/>
      <c r="E53" s="186"/>
      <c r="F53" s="186"/>
      <c r="G53" s="187"/>
      <c r="H53" s="23" t="s">
        <v>54</v>
      </c>
      <c r="I53" s="65">
        <f>SUMIF($E$12:$E$39,"=P30",I$12:I$39)+'Expense Form Extra Rows'!I63</f>
        <v>0</v>
      </c>
      <c r="J53" s="21">
        <f>SUMIF($E$12:$E$39,"=P30",J$12:J$39)+'Expense Form Extra Rows'!J63</f>
        <v>0</v>
      </c>
      <c r="K53" s="62"/>
      <c r="L53" s="21">
        <f>SUMIF($E$12:$E$39,"=P30",L$12:L$39)+'Expense Form Extra Rows'!L63</f>
        <v>0</v>
      </c>
      <c r="M53" s="21">
        <f>SUMIF($E$12:$E$39,"=P30",M$12:M$39)+'Expense Form Extra Rows'!M63</f>
        <v>0</v>
      </c>
      <c r="N53" s="21">
        <f>SUMIF($E$12:$E$39,"=P30",N$12:N$39)+'Expense Form Extra Rows'!N63</f>
        <v>0</v>
      </c>
      <c r="O53" s="52">
        <f t="shared" si="9"/>
        <v>0</v>
      </c>
    </row>
    <row r="54" spans="1:15" ht="20" customHeight="1" x14ac:dyDescent="0.15">
      <c r="A54" s="188" t="s">
        <v>55</v>
      </c>
      <c r="B54" s="189">
        <f>B51*B53</f>
        <v>0</v>
      </c>
      <c r="C54" s="190" t="s">
        <v>56</v>
      </c>
      <c r="D54" s="190"/>
      <c r="E54" s="190"/>
      <c r="F54" s="190"/>
      <c r="G54" s="187"/>
      <c r="H54" s="23" t="s">
        <v>57</v>
      </c>
      <c r="I54" s="65">
        <f>SUMIF($E$12:$E$39,"=P01",I$12:I$39)+'Expense Form Extra Rows'!I64</f>
        <v>0</v>
      </c>
      <c r="J54" s="21">
        <f>SUMIF($E$12:$E$39,"=P01",J$12:J$39)+'Expense Form Extra Rows'!J64</f>
        <v>0</v>
      </c>
      <c r="K54" s="62"/>
      <c r="L54" s="21">
        <f>SUMIF($E$12:$E$39,"=P01",L$12:L$39)+'Expense Form Extra Rows'!L64</f>
        <v>0</v>
      </c>
      <c r="M54" s="21">
        <f>SUMIF($E$12:$E$39,"=P01",M$12:M$39)+'Expense Form Extra Rows'!M64</f>
        <v>0</v>
      </c>
      <c r="N54" s="21">
        <f>SUMIF($E$12:$E$39,"=P01",N$12:N$39)+'Expense Form Extra Rows'!N64</f>
        <v>0</v>
      </c>
      <c r="O54" s="52">
        <f t="shared" si="9"/>
        <v>0</v>
      </c>
    </row>
    <row r="55" spans="1:15" ht="20" customHeight="1" x14ac:dyDescent="0.15">
      <c r="A55" s="188"/>
      <c r="B55" s="188"/>
      <c r="C55" s="190"/>
      <c r="D55" s="190"/>
      <c r="E55" s="190"/>
      <c r="F55" s="190"/>
      <c r="G55" s="187"/>
      <c r="H55" s="23" t="s">
        <v>58</v>
      </c>
      <c r="I55" s="65">
        <f>SUMIF($E$12:$E$39,"=P32",I$12:I$39)+'Expense Form Extra Rows'!I65</f>
        <v>0</v>
      </c>
      <c r="J55" s="21">
        <f>SUMIF($E$12:$E$39,"=P32",J$12:J$39)+'Expense Form Extra Rows'!J65</f>
        <v>0</v>
      </c>
      <c r="K55" s="62"/>
      <c r="L55" s="21">
        <f>SUMIF($E$12:$E$39,"=P32",L$12:L$39)+'Expense Form Extra Rows'!L65</f>
        <v>0</v>
      </c>
      <c r="M55" s="21">
        <f>SUMIF($E$12:$E$39,"=P32",M$12:M$39)+'Expense Form Extra Rows'!M65</f>
        <v>0</v>
      </c>
      <c r="N55" s="21">
        <f>SUMIF($E$12:$E$39,"=P32",N$12:N$39)+'Expense Form Extra Rows'!N65</f>
        <v>0</v>
      </c>
      <c r="O55" s="52">
        <f t="shared" si="9"/>
        <v>0</v>
      </c>
    </row>
    <row r="56" spans="1:15" ht="15" customHeight="1" x14ac:dyDescent="0.15">
      <c r="A56" s="42"/>
      <c r="B56" s="66"/>
      <c r="E56" s="51"/>
      <c r="G56" s="187"/>
      <c r="H56" s="23" t="s">
        <v>47</v>
      </c>
      <c r="I56" s="52">
        <f>SUMIF($E$12:$E$39,"=P61",I$12:I$39)+'Expense Form Extra Rows'!I66</f>
        <v>0</v>
      </c>
      <c r="J56" s="52">
        <f>SUMIF($E$12:$E$39,"=P61",J$12:J$39)+'Expense Form Extra Rows'!J66</f>
        <v>0</v>
      </c>
      <c r="K56" s="67">
        <f>K42-K58</f>
        <v>0</v>
      </c>
      <c r="L56" s="52">
        <f>SUMIF($E$12:$E$39,"=P61",L$12:L$39)+'Expense Form Extra Rows'!L66</f>
        <v>0</v>
      </c>
      <c r="M56" s="52">
        <f>SUMIF($E$12:$E$39,"=P61",M$12:M$39)+'Expense Form Extra Rows'!M66</f>
        <v>0</v>
      </c>
      <c r="N56" s="52">
        <f>SUMIF($E$12:$E$39,"=P61",N$12:N$39)+'Expense Form Extra Rows'!N66</f>
        <v>0</v>
      </c>
      <c r="O56" s="52">
        <f t="shared" si="9"/>
        <v>0</v>
      </c>
    </row>
    <row r="57" spans="1:15" ht="15" customHeight="1" x14ac:dyDescent="0.15">
      <c r="A57" s="68"/>
      <c r="B57" s="69"/>
      <c r="C57" s="191"/>
      <c r="D57" s="191"/>
      <c r="E57" s="70"/>
      <c r="G57" s="187"/>
      <c r="H57" s="71" t="s">
        <v>59</v>
      </c>
      <c r="I57" s="72">
        <f t="shared" ref="I57:N57" si="10">SUM(I49:I56)</f>
        <v>0</v>
      </c>
      <c r="J57" s="73">
        <f t="shared" si="10"/>
        <v>0</v>
      </c>
      <c r="K57" s="74">
        <f t="shared" si="10"/>
        <v>0</v>
      </c>
      <c r="L57" s="75">
        <f t="shared" si="10"/>
        <v>0</v>
      </c>
      <c r="M57" s="75">
        <f t="shared" si="10"/>
        <v>0</v>
      </c>
      <c r="N57" s="75">
        <f t="shared" si="10"/>
        <v>0</v>
      </c>
      <c r="O57" s="56"/>
    </row>
    <row r="58" spans="1:15" ht="15" customHeight="1" x14ac:dyDescent="0.15">
      <c r="A58" s="68"/>
      <c r="B58" s="69"/>
      <c r="E58" s="70"/>
      <c r="G58" s="76"/>
      <c r="H58" s="77"/>
      <c r="I58" s="77"/>
      <c r="J58" s="78"/>
      <c r="K58" s="79">
        <f>((SUMIF($E$12:$E$39,"=P61",K$12:K$39))*20/120)+'Expense Form Extra Rows'!K68</f>
        <v>0</v>
      </c>
      <c r="L58" s="77"/>
      <c r="M58" s="77"/>
      <c r="N58" s="78"/>
    </row>
    <row r="59" spans="1:15" ht="15" customHeight="1" x14ac:dyDescent="0.15">
      <c r="B59" s="51"/>
      <c r="C59" s="42"/>
      <c r="D59" s="42"/>
    </row>
    <row r="60" spans="1:15" ht="15" customHeight="1" x14ac:dyDescent="0.15">
      <c r="B60" s="180" t="s">
        <v>60</v>
      </c>
      <c r="C60" s="180"/>
      <c r="D60" s="180"/>
      <c r="E60" s="180"/>
      <c r="F60" s="180"/>
      <c r="G60" s="80"/>
      <c r="H60" s="81"/>
      <c r="I60" s="81"/>
      <c r="J60" s="81"/>
      <c r="K60" s="81"/>
      <c r="L60" s="81"/>
      <c r="M60" s="81"/>
      <c r="N60" s="81"/>
      <c r="O60" s="82"/>
    </row>
    <row r="61" spans="1:15" ht="15" customHeight="1" x14ac:dyDescent="0.2">
      <c r="B61" s="83"/>
      <c r="C61" s="84"/>
      <c r="D61" s="84"/>
      <c r="E61" s="84"/>
      <c r="F61" s="85"/>
      <c r="G61" s="86" t="s">
        <v>61</v>
      </c>
      <c r="H61" s="87"/>
      <c r="I61" s="88"/>
      <c r="J61" s="88"/>
      <c r="K61" s="88"/>
      <c r="L61" s="88"/>
      <c r="M61" s="88"/>
      <c r="N61" s="181" t="s">
        <v>62</v>
      </c>
      <c r="O61" s="181"/>
    </row>
    <row r="62" spans="1:15" ht="15" customHeight="1" x14ac:dyDescent="0.2">
      <c r="B62" s="89"/>
      <c r="C62" s="88"/>
      <c r="D62" s="88"/>
      <c r="E62" s="88"/>
      <c r="F62" s="90"/>
      <c r="G62" s="91"/>
      <c r="H62" s="88"/>
      <c r="I62" s="88"/>
      <c r="J62" s="88"/>
      <c r="K62" s="88"/>
      <c r="L62" s="88"/>
      <c r="M62" s="92"/>
      <c r="N62" s="181"/>
      <c r="O62" s="181"/>
    </row>
    <row r="63" spans="1:15" ht="20" customHeight="1" x14ac:dyDescent="0.2">
      <c r="B63" s="89"/>
      <c r="C63" s="93" t="s">
        <v>63</v>
      </c>
      <c r="D63" s="93"/>
      <c r="E63" s="182"/>
      <c r="F63" s="182"/>
      <c r="G63" s="91"/>
      <c r="H63" s="94" t="s">
        <v>64</v>
      </c>
      <c r="I63" s="183"/>
      <c r="J63" s="183"/>
      <c r="K63" s="183"/>
      <c r="L63" s="96" t="s">
        <v>11</v>
      </c>
      <c r="M63" s="95"/>
      <c r="N63" s="181"/>
      <c r="O63" s="181"/>
    </row>
    <row r="64" spans="1:15" ht="20" customHeight="1" x14ac:dyDescent="0.2">
      <c r="B64" s="89"/>
      <c r="C64" s="93"/>
      <c r="D64" s="93"/>
      <c r="E64" s="88"/>
      <c r="F64" s="90"/>
      <c r="G64" s="91"/>
      <c r="H64" s="94"/>
      <c r="I64" s="96"/>
      <c r="J64" s="96"/>
      <c r="K64" s="87"/>
      <c r="L64" s="96"/>
      <c r="M64" s="97"/>
      <c r="N64" s="98"/>
      <c r="O64" s="99"/>
    </row>
    <row r="65" spans="1:15" ht="20" customHeight="1" x14ac:dyDescent="0.2">
      <c r="B65" s="89"/>
      <c r="C65" s="88"/>
      <c r="D65" s="88"/>
      <c r="E65" s="88"/>
      <c r="F65" s="100"/>
      <c r="G65" s="91"/>
      <c r="H65" s="94" t="s">
        <v>65</v>
      </c>
      <c r="I65" s="101"/>
      <c r="J65" s="101"/>
      <c r="K65" s="101"/>
      <c r="L65" s="96" t="s">
        <v>11</v>
      </c>
      <c r="M65" s="95"/>
      <c r="N65" s="98"/>
      <c r="O65" s="99"/>
    </row>
    <row r="66" spans="1:15" ht="20" customHeight="1" x14ac:dyDescent="0.2">
      <c r="B66" s="102"/>
      <c r="C66" s="87"/>
      <c r="D66" s="87"/>
      <c r="E66" s="87"/>
      <c r="F66" s="100"/>
      <c r="G66" s="91"/>
      <c r="H66" s="94"/>
      <c r="I66" s="96"/>
      <c r="J66" s="96"/>
      <c r="K66" s="96" t="s">
        <v>66</v>
      </c>
      <c r="L66" s="96"/>
      <c r="M66" s="87"/>
      <c r="N66" s="98"/>
      <c r="O66" s="99"/>
    </row>
    <row r="67" spans="1:15" ht="20" customHeight="1" x14ac:dyDescent="0.2">
      <c r="B67" s="89"/>
      <c r="C67" s="88"/>
      <c r="D67" s="88"/>
      <c r="E67" s="88"/>
      <c r="F67" s="90"/>
      <c r="G67" s="91"/>
      <c r="H67" s="94" t="s">
        <v>67</v>
      </c>
      <c r="I67" s="96"/>
      <c r="J67" s="96"/>
      <c r="K67" s="87"/>
      <c r="L67" s="96"/>
      <c r="M67" s="88"/>
      <c r="N67" s="98"/>
      <c r="O67" s="99"/>
    </row>
    <row r="68" spans="1:15" ht="20" customHeight="1" x14ac:dyDescent="0.2">
      <c r="B68" s="89"/>
      <c r="C68" s="88"/>
      <c r="D68" s="88"/>
      <c r="E68" s="88"/>
      <c r="F68" s="90"/>
      <c r="G68" s="91"/>
      <c r="H68" s="94" t="s">
        <v>68</v>
      </c>
      <c r="I68" s="101"/>
      <c r="J68" s="101"/>
      <c r="K68" s="101"/>
      <c r="L68" s="96" t="s">
        <v>11</v>
      </c>
      <c r="M68" s="95"/>
      <c r="N68" s="98"/>
      <c r="O68" s="99"/>
    </row>
    <row r="69" spans="1:15" ht="20" customHeight="1" x14ac:dyDescent="0.2">
      <c r="B69" s="89"/>
      <c r="C69" s="88"/>
      <c r="D69" s="88"/>
      <c r="E69" s="88"/>
      <c r="F69" s="90"/>
      <c r="G69" s="91"/>
      <c r="H69" s="88"/>
      <c r="I69" s="87"/>
      <c r="J69" s="87"/>
      <c r="K69" s="96" t="s">
        <v>69</v>
      </c>
      <c r="L69" s="96"/>
      <c r="M69" s="88"/>
      <c r="N69" s="98"/>
      <c r="O69" s="99"/>
    </row>
    <row r="70" spans="1:15" ht="15" customHeight="1" x14ac:dyDescent="0.2">
      <c r="B70" s="103"/>
      <c r="C70" s="104"/>
      <c r="D70" s="104"/>
      <c r="E70" s="104"/>
      <c r="F70" s="105"/>
      <c r="G70" s="106"/>
      <c r="H70" s="104"/>
      <c r="I70" s="107"/>
      <c r="J70" s="107"/>
      <c r="K70" s="108"/>
      <c r="L70" s="108"/>
      <c r="M70" s="104"/>
      <c r="N70" s="109"/>
      <c r="O70" s="110"/>
    </row>
    <row r="71" spans="1:15" ht="15" customHeight="1" x14ac:dyDescent="0.15">
      <c r="G71" s="42"/>
      <c r="H71" s="111"/>
      <c r="I71" s="42"/>
      <c r="J71" s="111"/>
      <c r="K71" s="111"/>
      <c r="L71" s="42"/>
      <c r="M71" s="42"/>
      <c r="N71" s="70"/>
      <c r="O71" s="70"/>
    </row>
    <row r="72" spans="1:15" ht="13" customHeight="1" x14ac:dyDescent="0.15">
      <c r="A72" s="112" t="s">
        <v>70</v>
      </c>
      <c r="B72" s="112" t="s">
        <v>71</v>
      </c>
      <c r="C72" s="112"/>
      <c r="D72" s="112"/>
      <c r="E72" s="5" t="s">
        <v>72</v>
      </c>
      <c r="F72" s="5"/>
      <c r="G72" s="5"/>
      <c r="H72" s="5"/>
      <c r="I72" s="5"/>
      <c r="J72" s="113"/>
    </row>
    <row r="73" spans="1:15" ht="20.25" customHeight="1" x14ac:dyDescent="0.15">
      <c r="A73" s="112"/>
      <c r="B73" s="112"/>
      <c r="C73" s="112"/>
      <c r="D73" s="112"/>
      <c r="E73" s="5" t="s">
        <v>73</v>
      </c>
      <c r="F73" s="5" t="s">
        <v>74</v>
      </c>
      <c r="G73" s="5"/>
      <c r="H73" s="5"/>
      <c r="I73" s="114"/>
      <c r="J73" s="70"/>
      <c r="K73" s="70"/>
      <c r="M73" s="115"/>
      <c r="N73" s="70"/>
    </row>
    <row r="74" spans="1:15" ht="15" customHeight="1" x14ac:dyDescent="0.15">
      <c r="A74" s="112" t="s">
        <v>44</v>
      </c>
      <c r="B74" s="5" t="s">
        <v>31</v>
      </c>
      <c r="C74" s="5" t="s">
        <v>75</v>
      </c>
      <c r="D74" s="5"/>
      <c r="E74" s="5" t="s">
        <v>28</v>
      </c>
      <c r="F74" s="178" t="s">
        <v>76</v>
      </c>
      <c r="G74" s="178"/>
      <c r="H74" s="116"/>
      <c r="I74" s="114"/>
      <c r="J74" s="70"/>
      <c r="K74" s="70"/>
      <c r="L74" s="70"/>
      <c r="M74" s="70"/>
      <c r="N74" s="70"/>
    </row>
    <row r="75" spans="1:15" ht="16.5" customHeight="1" x14ac:dyDescent="0.15">
      <c r="A75" s="5" t="s">
        <v>77</v>
      </c>
      <c r="B75" s="112" t="s">
        <v>51</v>
      </c>
      <c r="C75" s="112" t="s">
        <v>78</v>
      </c>
      <c r="D75" s="112"/>
      <c r="E75" s="5" t="s">
        <v>79</v>
      </c>
      <c r="F75" s="178" t="s">
        <v>80</v>
      </c>
      <c r="G75" s="178"/>
      <c r="H75" s="5"/>
      <c r="I75" s="114"/>
      <c r="J75" s="70"/>
      <c r="K75" s="70"/>
      <c r="L75" s="70"/>
      <c r="M75" s="70"/>
      <c r="N75" s="70"/>
    </row>
    <row r="76" spans="1:15" ht="13" customHeight="1" x14ac:dyDescent="0.15">
      <c r="A76" s="114"/>
      <c r="B76" s="112" t="s">
        <v>52</v>
      </c>
      <c r="C76" s="112" t="s">
        <v>81</v>
      </c>
      <c r="D76" s="112"/>
      <c r="E76" s="5" t="s">
        <v>82</v>
      </c>
      <c r="F76" s="178" t="s">
        <v>83</v>
      </c>
      <c r="G76" s="178"/>
      <c r="H76" s="5"/>
      <c r="I76" s="114"/>
      <c r="J76" s="70"/>
      <c r="K76" s="70"/>
      <c r="L76" s="70"/>
      <c r="M76" s="70"/>
      <c r="N76" s="70"/>
    </row>
    <row r="77" spans="1:15" ht="17.25" customHeight="1" x14ac:dyDescent="0.15">
      <c r="A77" s="114"/>
      <c r="B77" s="112" t="s">
        <v>54</v>
      </c>
      <c r="C77" s="112" t="s">
        <v>84</v>
      </c>
      <c r="D77" s="112"/>
      <c r="E77" s="5" t="s">
        <v>85</v>
      </c>
      <c r="F77" s="179" t="s">
        <v>86</v>
      </c>
      <c r="G77" s="179"/>
      <c r="H77" s="114"/>
      <c r="I77" s="114"/>
      <c r="J77" s="70"/>
      <c r="K77" s="70"/>
      <c r="L77" s="70"/>
      <c r="M77" s="70">
        <f>M74+M75</f>
        <v>0</v>
      </c>
      <c r="N77" s="70"/>
    </row>
    <row r="78" spans="1:15" ht="13" customHeight="1" x14ac:dyDescent="0.15">
      <c r="A78" s="114"/>
      <c r="B78" s="112" t="s">
        <v>57</v>
      </c>
      <c r="C78" s="112" t="s">
        <v>87</v>
      </c>
      <c r="D78" s="112"/>
      <c r="E78" s="5" t="s">
        <v>88</v>
      </c>
      <c r="F78" s="178" t="s">
        <v>89</v>
      </c>
      <c r="G78" s="178"/>
      <c r="H78" s="114"/>
      <c r="I78" s="114"/>
      <c r="J78" s="70"/>
      <c r="K78" s="70"/>
      <c r="L78" s="70"/>
      <c r="M78" s="70"/>
      <c r="N78" s="70"/>
    </row>
    <row r="79" spans="1:15" ht="13" customHeight="1" x14ac:dyDescent="0.15">
      <c r="A79" s="5"/>
      <c r="B79" s="112" t="s">
        <v>58</v>
      </c>
      <c r="C79" s="112" t="s">
        <v>90</v>
      </c>
      <c r="D79" s="112"/>
      <c r="E79" s="5"/>
      <c r="F79" s="5"/>
      <c r="G79" s="5"/>
      <c r="H79" s="5"/>
      <c r="I79" s="5"/>
    </row>
    <row r="80" spans="1:15" ht="13" customHeight="1" x14ac:dyDescent="0.15">
      <c r="A80" s="5"/>
      <c r="B80" s="112" t="s">
        <v>47</v>
      </c>
      <c r="C80" s="112" t="s">
        <v>91</v>
      </c>
      <c r="D80" s="112"/>
      <c r="E80" s="112"/>
      <c r="F80" s="5"/>
      <c r="G80" s="5"/>
      <c r="H80" s="5"/>
      <c r="I80" s="5"/>
    </row>
    <row r="81" spans="1:9" ht="13" customHeight="1" x14ac:dyDescent="0.15">
      <c r="A81" s="5"/>
      <c r="B81" s="5"/>
      <c r="C81" s="5"/>
      <c r="D81" s="5"/>
      <c r="E81" s="112"/>
      <c r="F81" s="5"/>
      <c r="G81" s="5"/>
      <c r="H81" s="5"/>
      <c r="I81" s="5"/>
    </row>
    <row r="82" spans="1:9" ht="13" hidden="1" customHeight="1" x14ac:dyDescent="0.15">
      <c r="B82" s="5" t="s">
        <v>31</v>
      </c>
    </row>
    <row r="83" spans="1:9" ht="13" hidden="1" customHeight="1" x14ac:dyDescent="0.15">
      <c r="B83" s="112" t="s">
        <v>54</v>
      </c>
    </row>
    <row r="84" spans="1:9" ht="13" hidden="1" customHeight="1" x14ac:dyDescent="0.15">
      <c r="B84" s="112" t="s">
        <v>57</v>
      </c>
    </row>
    <row r="85" spans="1:9" ht="13" hidden="1" customHeight="1" x14ac:dyDescent="0.15">
      <c r="B85" s="112" t="s">
        <v>58</v>
      </c>
    </row>
    <row r="86" spans="1:9" ht="13" hidden="1" customHeight="1" x14ac:dyDescent="0.15">
      <c r="B86" s="112" t="s">
        <v>47</v>
      </c>
    </row>
    <row r="87" spans="1:9" ht="13" customHeight="1" x14ac:dyDescent="0.15">
      <c r="B87" s="112"/>
    </row>
    <row r="89" spans="1:9" ht="13" customHeight="1" x14ac:dyDescent="0.15">
      <c r="B89" s="5"/>
    </row>
    <row r="90" spans="1:9" ht="13" customHeight="1" x14ac:dyDescent="0.15">
      <c r="B90" s="112"/>
    </row>
    <row r="91" spans="1:9" ht="13" customHeight="1" x14ac:dyDescent="0.15">
      <c r="B91" s="112"/>
    </row>
    <row r="92" spans="1:9" ht="13" customHeight="1" x14ac:dyDescent="0.15">
      <c r="B92" s="112"/>
    </row>
    <row r="93" spans="1:9" ht="13" customHeight="1" x14ac:dyDescent="0.15">
      <c r="B93" s="112"/>
    </row>
  </sheetData>
  <mergeCells count="54">
    <mergeCell ref="A1:G3"/>
    <mergeCell ref="H1:N3"/>
    <mergeCell ref="A4:B5"/>
    <mergeCell ref="C4:D5"/>
    <mergeCell ref="E4:H5"/>
    <mergeCell ref="I4:K5"/>
    <mergeCell ref="N4:N5"/>
    <mergeCell ref="O4:O7"/>
    <mergeCell ref="A6:B7"/>
    <mergeCell ref="C6:D7"/>
    <mergeCell ref="E6:H7"/>
    <mergeCell ref="I6:K7"/>
    <mergeCell ref="L6:L7"/>
    <mergeCell ref="M6:M7"/>
    <mergeCell ref="N6:N7"/>
    <mergeCell ref="A8:A10"/>
    <mergeCell ref="B8:B10"/>
    <mergeCell ref="C8:D10"/>
    <mergeCell ref="E8:E10"/>
    <mergeCell ref="F8:F10"/>
    <mergeCell ref="L8:L10"/>
    <mergeCell ref="M8:M10"/>
    <mergeCell ref="N8:N10"/>
    <mergeCell ref="O8:O10"/>
    <mergeCell ref="G43:H43"/>
    <mergeCell ref="G8:G10"/>
    <mergeCell ref="H8:H10"/>
    <mergeCell ref="I8:I10"/>
    <mergeCell ref="J8:J10"/>
    <mergeCell ref="K8:K10"/>
    <mergeCell ref="B44:E45"/>
    <mergeCell ref="O44:O45"/>
    <mergeCell ref="G45:G47"/>
    <mergeCell ref="A49:A50"/>
    <mergeCell ref="B49:B50"/>
    <mergeCell ref="C49:F50"/>
    <mergeCell ref="G49:G50"/>
    <mergeCell ref="N61:O63"/>
    <mergeCell ref="E63:F63"/>
    <mergeCell ref="I63:K63"/>
    <mergeCell ref="F74:G74"/>
    <mergeCell ref="A51:A52"/>
    <mergeCell ref="B51:B52"/>
    <mergeCell ref="C51:F53"/>
    <mergeCell ref="G51:G57"/>
    <mergeCell ref="A54:A55"/>
    <mergeCell ref="B54:B55"/>
    <mergeCell ref="C54:F55"/>
    <mergeCell ref="C57:D57"/>
    <mergeCell ref="F75:G75"/>
    <mergeCell ref="F76:G76"/>
    <mergeCell ref="F77:G77"/>
    <mergeCell ref="F78:G78"/>
    <mergeCell ref="B60:F60"/>
  </mergeCells>
  <conditionalFormatting sqref="B44">
    <cfRule type="containsText" dxfId="5" priority="2" operator="containsText" text="Warning">
      <formula>NOT(ISERROR(SEARCH("Warning",B44)))</formula>
    </cfRule>
    <cfRule type="containsText" dxfId="4" priority="3" operator="containsText" text="WARNING">
      <formula>NOT(ISERROR(SEARCH("WARNING",B44)))</formula>
    </cfRule>
  </conditionalFormatting>
  <dataValidations count="5">
    <dataValidation type="list" showInputMessage="1" showErrorMessage="1" sqref="A13:A36" xr:uid="{00000000-0002-0000-0000-000000000000}">
      <formula1>$E$73:$E$78</formula1>
      <formula2>0</formula2>
    </dataValidation>
    <dataValidation type="list" showInputMessage="1" showErrorMessage="1" sqref="E13:E36" xr:uid="{00000000-0002-0000-0000-000001000000}">
      <formula1>$B$82:$B$86</formula1>
      <formula2>0</formula2>
    </dataValidation>
    <dataValidation type="list" showInputMessage="1" showErrorMessage="1" sqref="F12:F37 O12:O41 B49:B50" xr:uid="{00000000-0002-0000-0000-000002000000}">
      <formula1>$A$74:$A$75</formula1>
      <formula2>0</formula2>
    </dataValidation>
    <dataValidation type="list" showInputMessage="1" showErrorMessage="1" prompt="P10 - 20% rate recoverable_x000a_P30 - No VAT receipt / VAT Exempt_x000a_P01 - Zero rated supply_x000a_P32 - Overseas expenditure / Outside the Scope of VAT_x000a_P61 - Business entertaining" sqref="E12" xr:uid="{00000000-0002-0000-0000-000003000000}">
      <formula1>$B$82:$B$86</formula1>
      <formula2>0</formula2>
    </dataValidation>
    <dataValidation type="list" showInputMessage="1" showErrorMessage="1" prompt="S = Subsistence (including hotels)_x000a_T = Travel_x000a_E = Business entertaining_x000a_ES = Staff entertaining_x000a_PF = Professional subscriptions_x000a_O = Other expenses" sqref="A12" xr:uid="{00000000-0002-0000-0000-000004000000}">
      <formula1>$E$73:$E$78</formula1>
      <formula2>0</formula2>
    </dataValidation>
  </dataValidations>
  <hyperlinks>
    <hyperlink ref="C54" r:id="rId1" xr:uid="{00000000-0004-0000-0000-000000000000}"/>
  </hyperlinks>
  <printOptions horizontalCentered="1"/>
  <pageMargins left="0" right="0" top="0.31527777777777799" bottom="0.27986111111111101" header="0.51180555555555496" footer="0.15763888888888899"/>
  <pageSetup paperSize="9" firstPageNumber="0" orientation="landscape" horizontalDpi="300" verticalDpi="300"/>
  <headerFooter>
    <oddFooter>&amp;L&amp;14 &amp;F - &amp;A&amp;C&amp;14 &amp;P&amp;R&amp;14 Printed on &amp;D at &amp;T</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AMJ81"/>
  <sheetViews>
    <sheetView showGridLines="0" showZeros="0" zoomScale="70" zoomScaleNormal="70" workbookViewId="0">
      <selection activeCell="C46" sqref="C46"/>
    </sheetView>
  </sheetViews>
  <sheetFormatPr baseColWidth="10" defaultColWidth="9.1640625" defaultRowHeight="13" x14ac:dyDescent="0.15"/>
  <cols>
    <col min="1" max="2" width="12.6640625" style="1" customWidth="1"/>
    <col min="3" max="4" width="40.6640625" style="1" customWidth="1"/>
    <col min="5" max="6" width="12.6640625" style="1" customWidth="1"/>
    <col min="7" max="8" width="15.6640625" style="1" customWidth="1"/>
    <col min="9" max="14" width="20.6640625" style="1" customWidth="1"/>
    <col min="15" max="15" width="15.6640625" style="1" customWidth="1"/>
    <col min="16" max="1024" width="9.1640625" style="1"/>
  </cols>
  <sheetData>
    <row r="1" spans="1:15" ht="15" customHeight="1" x14ac:dyDescent="0.15">
      <c r="A1" s="209" t="s">
        <v>0</v>
      </c>
      <c r="B1" s="209"/>
      <c r="C1" s="209"/>
      <c r="D1" s="209"/>
      <c r="E1" s="209"/>
      <c r="F1" s="209"/>
      <c r="G1" s="209"/>
      <c r="H1" s="210"/>
      <c r="I1" s="210"/>
      <c r="J1" s="210"/>
      <c r="K1" s="210"/>
      <c r="L1" s="210"/>
      <c r="M1" s="210"/>
      <c r="N1" s="210"/>
      <c r="O1" s="2"/>
    </row>
    <row r="2" spans="1:15" ht="15" customHeight="1" x14ac:dyDescent="0.15">
      <c r="A2" s="209"/>
      <c r="B2" s="209"/>
      <c r="C2" s="209"/>
      <c r="D2" s="209"/>
      <c r="E2" s="209"/>
      <c r="F2" s="209"/>
      <c r="G2" s="209"/>
      <c r="H2" s="210"/>
      <c r="I2" s="210"/>
      <c r="J2" s="210"/>
      <c r="K2" s="210"/>
      <c r="L2" s="210"/>
      <c r="M2" s="210"/>
      <c r="N2" s="210"/>
      <c r="O2" s="2"/>
    </row>
    <row r="3" spans="1:15" ht="15" customHeight="1" x14ac:dyDescent="0.15">
      <c r="A3" s="209"/>
      <c r="B3" s="209"/>
      <c r="C3" s="209"/>
      <c r="D3" s="209"/>
      <c r="E3" s="209"/>
      <c r="F3" s="209"/>
      <c r="G3" s="209"/>
      <c r="H3" s="210"/>
      <c r="I3" s="210"/>
      <c r="J3" s="210"/>
      <c r="K3" s="210"/>
      <c r="L3" s="210"/>
      <c r="M3" s="210"/>
      <c r="N3" s="210"/>
      <c r="O3" s="2"/>
    </row>
    <row r="4" spans="1:15" s="5" customFormat="1" ht="15" customHeight="1" x14ac:dyDescent="0.15">
      <c r="A4" s="202" t="s">
        <v>1</v>
      </c>
      <c r="B4" s="202"/>
      <c r="C4" s="216" t="str">
        <f>'Expense Claim Form '!C4:D5</f>
        <v>Brian Fleming</v>
      </c>
      <c r="D4" s="216"/>
      <c r="E4" s="212" t="s">
        <v>2</v>
      </c>
      <c r="F4" s="212"/>
      <c r="G4" s="212"/>
      <c r="H4" s="212"/>
      <c r="I4" s="198" t="s">
        <v>3</v>
      </c>
      <c r="J4" s="198"/>
      <c r="K4" s="198"/>
      <c r="L4" s="3" t="s">
        <v>4</v>
      </c>
      <c r="M4" s="4" t="str">
        <f>'Mileage Detail'!M4</f>
        <v>DIESEL</v>
      </c>
      <c r="N4" s="212" t="s">
        <v>5</v>
      </c>
      <c r="O4" s="203" t="s">
        <v>6</v>
      </c>
    </row>
    <row r="5" spans="1:15" ht="15" customHeight="1" x14ac:dyDescent="0.15">
      <c r="A5" s="202"/>
      <c r="B5" s="202"/>
      <c r="C5" s="216"/>
      <c r="D5" s="216"/>
      <c r="E5" s="212"/>
      <c r="F5" s="212"/>
      <c r="G5" s="212"/>
      <c r="H5" s="212"/>
      <c r="I5" s="198"/>
      <c r="J5" s="198"/>
      <c r="K5" s="198"/>
      <c r="L5" s="6" t="s">
        <v>7</v>
      </c>
      <c r="M5" s="7">
        <f>'Mileage Detail'!M5</f>
        <v>1600</v>
      </c>
      <c r="N5" s="212"/>
      <c r="O5" s="203"/>
    </row>
    <row r="6" spans="1:15" s="5" customFormat="1" ht="15" customHeight="1" x14ac:dyDescent="0.15">
      <c r="A6" s="204" t="s">
        <v>8</v>
      </c>
      <c r="B6" s="204"/>
      <c r="C6" s="216">
        <f>'Expense Claim Form '!C6:D7</f>
        <v>0</v>
      </c>
      <c r="D6" s="216"/>
      <c r="E6" s="216" t="str">
        <f>'Expense Claim Form '!E6:H7</f>
        <v>Taylor Wimpey West of Scotland</v>
      </c>
      <c r="F6" s="216"/>
      <c r="G6" s="216"/>
      <c r="H6" s="216"/>
      <c r="I6" s="203">
        <f>'Expense Claim Form '!I6:K7</f>
        <v>0</v>
      </c>
      <c r="J6" s="203"/>
      <c r="K6" s="203"/>
      <c r="L6" s="207" t="s">
        <v>9</v>
      </c>
      <c r="M6" s="203" t="str">
        <f>'Mileage Detail'!M6</f>
        <v>SB65 XCW</v>
      </c>
      <c r="N6" s="208">
        <f ca="1">TODAY()</f>
        <v>46043</v>
      </c>
      <c r="O6" s="203"/>
    </row>
    <row r="7" spans="1:15" ht="15" customHeight="1" x14ac:dyDescent="0.15">
      <c r="A7" s="204"/>
      <c r="B7" s="204"/>
      <c r="C7" s="216"/>
      <c r="D7" s="216"/>
      <c r="E7" s="216"/>
      <c r="F7" s="216"/>
      <c r="G7" s="216"/>
      <c r="H7" s="216"/>
      <c r="I7" s="203"/>
      <c r="J7" s="203"/>
      <c r="K7" s="203"/>
      <c r="L7" s="207"/>
      <c r="M7" s="207"/>
      <c r="N7" s="208"/>
      <c r="O7" s="203"/>
    </row>
    <row r="8" spans="1:15" ht="20" customHeight="1" x14ac:dyDescent="0.15">
      <c r="A8" s="198" t="s">
        <v>10</v>
      </c>
      <c r="B8" s="202" t="s">
        <v>11</v>
      </c>
      <c r="C8" s="198" t="s">
        <v>12</v>
      </c>
      <c r="D8" s="198"/>
      <c r="E8" s="198" t="s">
        <v>13</v>
      </c>
      <c r="F8" s="198" t="s">
        <v>14</v>
      </c>
      <c r="G8" s="198" t="s">
        <v>15</v>
      </c>
      <c r="H8" s="198" t="s">
        <v>16</v>
      </c>
      <c r="I8" s="198" t="s">
        <v>17</v>
      </c>
      <c r="J8" s="198" t="s">
        <v>18</v>
      </c>
      <c r="K8" s="198" t="s">
        <v>19</v>
      </c>
      <c r="L8" s="198" t="s">
        <v>20</v>
      </c>
      <c r="M8" s="199" t="s">
        <v>21</v>
      </c>
      <c r="N8" s="198" t="s">
        <v>22</v>
      </c>
      <c r="O8" s="200" t="s">
        <v>23</v>
      </c>
    </row>
    <row r="9" spans="1:15" ht="20" customHeight="1" x14ac:dyDescent="0.15">
      <c r="A9" s="198"/>
      <c r="B9" s="198"/>
      <c r="C9" s="198"/>
      <c r="D9" s="198"/>
      <c r="E9" s="198"/>
      <c r="F9" s="198"/>
      <c r="G9" s="198"/>
      <c r="H9" s="198"/>
      <c r="I9" s="198"/>
      <c r="J9" s="198"/>
      <c r="K9" s="198"/>
      <c r="L9" s="198"/>
      <c r="M9" s="199"/>
      <c r="N9" s="198"/>
      <c r="O9" s="198"/>
    </row>
    <row r="10" spans="1:15" ht="20" customHeight="1" x14ac:dyDescent="0.15">
      <c r="A10" s="198"/>
      <c r="B10" s="198"/>
      <c r="C10" s="198"/>
      <c r="D10" s="198"/>
      <c r="E10" s="198"/>
      <c r="F10" s="198"/>
      <c r="G10" s="198"/>
      <c r="H10" s="198"/>
      <c r="I10" s="198"/>
      <c r="J10" s="198"/>
      <c r="K10" s="198"/>
      <c r="L10" s="198"/>
      <c r="M10" s="199"/>
      <c r="N10" s="198"/>
      <c r="O10" s="198"/>
    </row>
    <row r="11" spans="1:15" ht="15" customHeight="1" x14ac:dyDescent="0.15">
      <c r="A11" s="8"/>
      <c r="B11" s="8"/>
      <c r="C11" s="3" t="s">
        <v>24</v>
      </c>
      <c r="D11" s="3" t="s">
        <v>25</v>
      </c>
      <c r="E11" s="8"/>
      <c r="F11" s="9" t="s">
        <v>26</v>
      </c>
      <c r="G11" s="10" t="s">
        <v>27</v>
      </c>
      <c r="H11" s="10" t="s">
        <v>27</v>
      </c>
      <c r="I11" s="10" t="s">
        <v>27</v>
      </c>
      <c r="J11" s="10" t="s">
        <v>27</v>
      </c>
      <c r="K11" s="10" t="s">
        <v>27</v>
      </c>
      <c r="L11" s="10" t="s">
        <v>27</v>
      </c>
      <c r="M11" s="10" t="s">
        <v>27</v>
      </c>
      <c r="N11" s="9" t="s">
        <v>27</v>
      </c>
      <c r="O11" s="11" t="s">
        <v>26</v>
      </c>
    </row>
    <row r="12" spans="1:15" ht="15" customHeight="1" x14ac:dyDescent="0.15">
      <c r="A12" s="12"/>
      <c r="B12" s="13"/>
      <c r="C12" s="14"/>
      <c r="D12" s="14"/>
      <c r="E12" s="12"/>
      <c r="F12" s="12"/>
      <c r="G12" s="15"/>
      <c r="H12" s="16">
        <f t="shared" ref="H12:H51" si="0">IF($E12=B$72,ROUND((G12*(1/6)),2),0)</f>
        <v>0</v>
      </c>
      <c r="I12" s="16">
        <f t="shared" ref="I12:I51" si="1">IF($A12="s",ROUND((+$G12-$H12),2),0)</f>
        <v>0</v>
      </c>
      <c r="J12" s="16">
        <f t="shared" ref="J12:J51" si="2">IF($A12="t",ROUND((+$G12-$H12),2),0)</f>
        <v>0</v>
      </c>
      <c r="K12" s="16">
        <f t="shared" ref="K12:K51" si="3">IF($A12="e",ROUND((+$G12-$H12),2),0)</f>
        <v>0</v>
      </c>
      <c r="L12" s="16">
        <f t="shared" ref="L12:L51" si="4">IF($A12="es",ROUND((+$G12-$H12),2),0)</f>
        <v>0</v>
      </c>
      <c r="M12" s="16">
        <f t="shared" ref="M12:M51" si="5">IF($A12="pf",ROUND((+$G12-$H12),2),0)</f>
        <v>0</v>
      </c>
      <c r="N12" s="16">
        <f t="shared" ref="N12:N51" si="6">IF($A12="o",ROUND((+$G12-$H12),2),0)</f>
        <v>0</v>
      </c>
      <c r="O12" s="17"/>
    </row>
    <row r="13" spans="1:15" ht="15" customHeight="1" x14ac:dyDescent="0.15">
      <c r="A13" s="12"/>
      <c r="B13" s="13"/>
      <c r="C13" s="19"/>
      <c r="D13" s="19"/>
      <c r="E13" s="12"/>
      <c r="F13" s="12"/>
      <c r="G13" s="20"/>
      <c r="H13" s="21">
        <f t="shared" si="0"/>
        <v>0</v>
      </c>
      <c r="I13" s="16">
        <f t="shared" si="1"/>
        <v>0</v>
      </c>
      <c r="J13" s="16">
        <f t="shared" si="2"/>
        <v>0</v>
      </c>
      <c r="K13" s="16">
        <f t="shared" si="3"/>
        <v>0</v>
      </c>
      <c r="L13" s="16">
        <f t="shared" si="4"/>
        <v>0</v>
      </c>
      <c r="M13" s="16">
        <f t="shared" si="5"/>
        <v>0</v>
      </c>
      <c r="N13" s="16">
        <f t="shared" si="6"/>
        <v>0</v>
      </c>
      <c r="O13" s="17"/>
    </row>
    <row r="14" spans="1:15" ht="15" customHeight="1" x14ac:dyDescent="0.15">
      <c r="A14" s="12"/>
      <c r="B14" s="13"/>
      <c r="C14" s="19"/>
      <c r="D14" s="19"/>
      <c r="E14" s="12"/>
      <c r="F14" s="12"/>
      <c r="G14" s="20"/>
      <c r="H14" s="21">
        <f t="shared" si="0"/>
        <v>0</v>
      </c>
      <c r="I14" s="16">
        <f t="shared" si="1"/>
        <v>0</v>
      </c>
      <c r="J14" s="16">
        <f t="shared" si="2"/>
        <v>0</v>
      </c>
      <c r="K14" s="16">
        <f t="shared" si="3"/>
        <v>0</v>
      </c>
      <c r="L14" s="16">
        <f t="shared" si="4"/>
        <v>0</v>
      </c>
      <c r="M14" s="16">
        <f t="shared" si="5"/>
        <v>0</v>
      </c>
      <c r="N14" s="16">
        <f t="shared" si="6"/>
        <v>0</v>
      </c>
      <c r="O14" s="17"/>
    </row>
    <row r="15" spans="1:15" ht="15" customHeight="1" x14ac:dyDescent="0.15">
      <c r="A15" s="12"/>
      <c r="B15" s="13"/>
      <c r="C15" s="19"/>
      <c r="D15" s="19"/>
      <c r="E15" s="12"/>
      <c r="F15" s="12"/>
      <c r="G15" s="20"/>
      <c r="H15" s="21">
        <f t="shared" si="0"/>
        <v>0</v>
      </c>
      <c r="I15" s="16">
        <f t="shared" si="1"/>
        <v>0</v>
      </c>
      <c r="J15" s="16">
        <f t="shared" si="2"/>
        <v>0</v>
      </c>
      <c r="K15" s="16">
        <f t="shared" si="3"/>
        <v>0</v>
      </c>
      <c r="L15" s="16">
        <f t="shared" si="4"/>
        <v>0</v>
      </c>
      <c r="M15" s="16">
        <f t="shared" si="5"/>
        <v>0</v>
      </c>
      <c r="N15" s="16">
        <f t="shared" si="6"/>
        <v>0</v>
      </c>
      <c r="O15" s="17"/>
    </row>
    <row r="16" spans="1:15" ht="15" customHeight="1" x14ac:dyDescent="0.15">
      <c r="A16" s="12"/>
      <c r="B16" s="13"/>
      <c r="C16" s="19"/>
      <c r="D16" s="19"/>
      <c r="E16" s="12"/>
      <c r="F16" s="12"/>
      <c r="G16" s="20"/>
      <c r="H16" s="21">
        <f t="shared" si="0"/>
        <v>0</v>
      </c>
      <c r="I16" s="16">
        <f t="shared" si="1"/>
        <v>0</v>
      </c>
      <c r="J16" s="16">
        <f t="shared" si="2"/>
        <v>0</v>
      </c>
      <c r="K16" s="16">
        <f t="shared" si="3"/>
        <v>0</v>
      </c>
      <c r="L16" s="16">
        <f t="shared" si="4"/>
        <v>0</v>
      </c>
      <c r="M16" s="16">
        <f t="shared" si="5"/>
        <v>0</v>
      </c>
      <c r="N16" s="16">
        <f t="shared" si="6"/>
        <v>0</v>
      </c>
      <c r="O16" s="17"/>
    </row>
    <row r="17" spans="1:15" ht="15" customHeight="1" x14ac:dyDescent="0.15">
      <c r="A17" s="12"/>
      <c r="B17" s="13"/>
      <c r="C17" s="19"/>
      <c r="D17" s="19"/>
      <c r="E17" s="12"/>
      <c r="F17" s="12"/>
      <c r="G17" s="20"/>
      <c r="H17" s="21">
        <f t="shared" si="0"/>
        <v>0</v>
      </c>
      <c r="I17" s="16">
        <f t="shared" si="1"/>
        <v>0</v>
      </c>
      <c r="J17" s="16">
        <f t="shared" si="2"/>
        <v>0</v>
      </c>
      <c r="K17" s="16">
        <f t="shared" si="3"/>
        <v>0</v>
      </c>
      <c r="L17" s="16">
        <f t="shared" si="4"/>
        <v>0</v>
      </c>
      <c r="M17" s="16">
        <f t="shared" si="5"/>
        <v>0</v>
      </c>
      <c r="N17" s="16">
        <f t="shared" si="6"/>
        <v>0</v>
      </c>
      <c r="O17" s="17"/>
    </row>
    <row r="18" spans="1:15" ht="15" customHeight="1" x14ac:dyDescent="0.15">
      <c r="A18" s="12"/>
      <c r="B18" s="13"/>
      <c r="C18" s="14"/>
      <c r="D18" s="14"/>
      <c r="E18" s="12"/>
      <c r="F18" s="12"/>
      <c r="G18" s="15"/>
      <c r="H18" s="21">
        <f t="shared" si="0"/>
        <v>0</v>
      </c>
      <c r="I18" s="16">
        <f t="shared" si="1"/>
        <v>0</v>
      </c>
      <c r="J18" s="16">
        <f t="shared" si="2"/>
        <v>0</v>
      </c>
      <c r="K18" s="16">
        <f t="shared" si="3"/>
        <v>0</v>
      </c>
      <c r="L18" s="16">
        <f t="shared" si="4"/>
        <v>0</v>
      </c>
      <c r="M18" s="16">
        <f t="shared" si="5"/>
        <v>0</v>
      </c>
      <c r="N18" s="16">
        <f t="shared" si="6"/>
        <v>0</v>
      </c>
      <c r="O18" s="17"/>
    </row>
    <row r="19" spans="1:15" ht="15" customHeight="1" x14ac:dyDescent="0.15">
      <c r="A19" s="12"/>
      <c r="B19" s="13"/>
      <c r="C19" s="14"/>
      <c r="D19" s="14"/>
      <c r="E19" s="12"/>
      <c r="F19" s="12"/>
      <c r="G19" s="15"/>
      <c r="H19" s="21">
        <f t="shared" si="0"/>
        <v>0</v>
      </c>
      <c r="I19" s="16">
        <f t="shared" si="1"/>
        <v>0</v>
      </c>
      <c r="J19" s="16">
        <f t="shared" si="2"/>
        <v>0</v>
      </c>
      <c r="K19" s="16">
        <f t="shared" si="3"/>
        <v>0</v>
      </c>
      <c r="L19" s="16">
        <f t="shared" si="4"/>
        <v>0</v>
      </c>
      <c r="M19" s="16">
        <f t="shared" si="5"/>
        <v>0</v>
      </c>
      <c r="N19" s="16">
        <f t="shared" si="6"/>
        <v>0</v>
      </c>
      <c r="O19" s="17"/>
    </row>
    <row r="20" spans="1:15" ht="15" customHeight="1" x14ac:dyDescent="0.15">
      <c r="A20" s="12"/>
      <c r="B20" s="13"/>
      <c r="C20" s="14"/>
      <c r="D20" s="14"/>
      <c r="E20" s="12"/>
      <c r="F20" s="12"/>
      <c r="G20" s="15"/>
      <c r="H20" s="21">
        <f t="shared" si="0"/>
        <v>0</v>
      </c>
      <c r="I20" s="16">
        <f t="shared" si="1"/>
        <v>0</v>
      </c>
      <c r="J20" s="16">
        <f t="shared" si="2"/>
        <v>0</v>
      </c>
      <c r="K20" s="16">
        <f t="shared" si="3"/>
        <v>0</v>
      </c>
      <c r="L20" s="16">
        <f t="shared" si="4"/>
        <v>0</v>
      </c>
      <c r="M20" s="16">
        <f t="shared" si="5"/>
        <v>0</v>
      </c>
      <c r="N20" s="16">
        <f t="shared" si="6"/>
        <v>0</v>
      </c>
      <c r="O20" s="17"/>
    </row>
    <row r="21" spans="1:15" ht="15" customHeight="1" x14ac:dyDescent="0.15">
      <c r="A21" s="12"/>
      <c r="B21" s="13"/>
      <c r="C21" s="14"/>
      <c r="D21" s="14"/>
      <c r="E21" s="12"/>
      <c r="F21" s="12"/>
      <c r="G21" s="15"/>
      <c r="H21" s="21">
        <f t="shared" si="0"/>
        <v>0</v>
      </c>
      <c r="I21" s="16">
        <f t="shared" si="1"/>
        <v>0</v>
      </c>
      <c r="J21" s="16">
        <f t="shared" si="2"/>
        <v>0</v>
      </c>
      <c r="K21" s="16">
        <f t="shared" si="3"/>
        <v>0</v>
      </c>
      <c r="L21" s="16">
        <f t="shared" si="4"/>
        <v>0</v>
      </c>
      <c r="M21" s="16">
        <f t="shared" si="5"/>
        <v>0</v>
      </c>
      <c r="N21" s="16">
        <f t="shared" si="6"/>
        <v>0</v>
      </c>
      <c r="O21" s="17"/>
    </row>
    <row r="22" spans="1:15" ht="15" customHeight="1" x14ac:dyDescent="0.15">
      <c r="A22" s="12"/>
      <c r="B22" s="13"/>
      <c r="C22" s="14"/>
      <c r="D22" s="14"/>
      <c r="E22" s="12"/>
      <c r="F22" s="12"/>
      <c r="G22" s="15"/>
      <c r="H22" s="21">
        <f t="shared" si="0"/>
        <v>0</v>
      </c>
      <c r="I22" s="16">
        <f t="shared" si="1"/>
        <v>0</v>
      </c>
      <c r="J22" s="16">
        <f t="shared" si="2"/>
        <v>0</v>
      </c>
      <c r="K22" s="16">
        <f t="shared" si="3"/>
        <v>0</v>
      </c>
      <c r="L22" s="16">
        <f t="shared" si="4"/>
        <v>0</v>
      </c>
      <c r="M22" s="16">
        <f t="shared" si="5"/>
        <v>0</v>
      </c>
      <c r="N22" s="16">
        <f t="shared" si="6"/>
        <v>0</v>
      </c>
      <c r="O22" s="17"/>
    </row>
    <row r="23" spans="1:15" ht="15" customHeight="1" x14ac:dyDescent="0.15">
      <c r="A23" s="12"/>
      <c r="B23" s="13"/>
      <c r="C23" s="14"/>
      <c r="D23" s="14"/>
      <c r="E23" s="12"/>
      <c r="F23" s="12"/>
      <c r="G23" s="15"/>
      <c r="H23" s="21">
        <f t="shared" si="0"/>
        <v>0</v>
      </c>
      <c r="I23" s="16">
        <f t="shared" si="1"/>
        <v>0</v>
      </c>
      <c r="J23" s="16">
        <f t="shared" si="2"/>
        <v>0</v>
      </c>
      <c r="K23" s="16">
        <f t="shared" si="3"/>
        <v>0</v>
      </c>
      <c r="L23" s="16">
        <f t="shared" si="4"/>
        <v>0</v>
      </c>
      <c r="M23" s="16">
        <f t="shared" si="5"/>
        <v>0</v>
      </c>
      <c r="N23" s="16">
        <f t="shared" si="6"/>
        <v>0</v>
      </c>
      <c r="O23" s="17"/>
    </row>
    <row r="24" spans="1:15" ht="15" customHeight="1" x14ac:dyDescent="0.15">
      <c r="A24" s="12"/>
      <c r="B24" s="13"/>
      <c r="C24" s="14"/>
      <c r="D24" s="14"/>
      <c r="E24" s="12"/>
      <c r="F24" s="12"/>
      <c r="G24" s="15"/>
      <c r="H24" s="21">
        <f t="shared" si="0"/>
        <v>0</v>
      </c>
      <c r="I24" s="16">
        <f t="shared" si="1"/>
        <v>0</v>
      </c>
      <c r="J24" s="16">
        <f t="shared" si="2"/>
        <v>0</v>
      </c>
      <c r="K24" s="16">
        <f t="shared" si="3"/>
        <v>0</v>
      </c>
      <c r="L24" s="16">
        <f t="shared" si="4"/>
        <v>0</v>
      </c>
      <c r="M24" s="16">
        <f t="shared" si="5"/>
        <v>0</v>
      </c>
      <c r="N24" s="16">
        <f t="shared" si="6"/>
        <v>0</v>
      </c>
      <c r="O24" s="17"/>
    </row>
    <row r="25" spans="1:15" ht="15" customHeight="1" x14ac:dyDescent="0.15">
      <c r="A25" s="12"/>
      <c r="B25" s="13"/>
      <c r="C25" s="14"/>
      <c r="D25" s="14"/>
      <c r="E25" s="12"/>
      <c r="F25" s="12"/>
      <c r="G25" s="15"/>
      <c r="H25" s="21">
        <f t="shared" si="0"/>
        <v>0</v>
      </c>
      <c r="I25" s="16">
        <f t="shared" si="1"/>
        <v>0</v>
      </c>
      <c r="J25" s="16">
        <f t="shared" si="2"/>
        <v>0</v>
      </c>
      <c r="K25" s="16">
        <f t="shared" si="3"/>
        <v>0</v>
      </c>
      <c r="L25" s="16">
        <f t="shared" si="4"/>
        <v>0</v>
      </c>
      <c r="M25" s="16">
        <f t="shared" si="5"/>
        <v>0</v>
      </c>
      <c r="N25" s="16">
        <f t="shared" si="6"/>
        <v>0</v>
      </c>
      <c r="O25" s="17"/>
    </row>
    <row r="26" spans="1:15" ht="15" customHeight="1" x14ac:dyDescent="0.15">
      <c r="A26" s="12"/>
      <c r="B26" s="13"/>
      <c r="C26" s="14"/>
      <c r="D26" s="14"/>
      <c r="E26" s="12"/>
      <c r="F26" s="12"/>
      <c r="G26" s="15"/>
      <c r="H26" s="21">
        <f t="shared" si="0"/>
        <v>0</v>
      </c>
      <c r="I26" s="16">
        <f t="shared" si="1"/>
        <v>0</v>
      </c>
      <c r="J26" s="16">
        <f t="shared" si="2"/>
        <v>0</v>
      </c>
      <c r="K26" s="16">
        <f t="shared" si="3"/>
        <v>0</v>
      </c>
      <c r="L26" s="16">
        <f t="shared" si="4"/>
        <v>0</v>
      </c>
      <c r="M26" s="16">
        <f t="shared" si="5"/>
        <v>0</v>
      </c>
      <c r="N26" s="16">
        <f t="shared" si="6"/>
        <v>0</v>
      </c>
      <c r="O26" s="17"/>
    </row>
    <row r="27" spans="1:15" ht="15" customHeight="1" x14ac:dyDescent="0.15">
      <c r="A27" s="12"/>
      <c r="B27" s="13"/>
      <c r="C27" s="14"/>
      <c r="D27" s="14"/>
      <c r="E27" s="12"/>
      <c r="F27" s="12"/>
      <c r="G27" s="15"/>
      <c r="H27" s="21">
        <f t="shared" si="0"/>
        <v>0</v>
      </c>
      <c r="I27" s="16">
        <f t="shared" si="1"/>
        <v>0</v>
      </c>
      <c r="J27" s="16">
        <f t="shared" si="2"/>
        <v>0</v>
      </c>
      <c r="K27" s="16">
        <f t="shared" si="3"/>
        <v>0</v>
      </c>
      <c r="L27" s="16">
        <f t="shared" si="4"/>
        <v>0</v>
      </c>
      <c r="M27" s="16">
        <f t="shared" si="5"/>
        <v>0</v>
      </c>
      <c r="N27" s="16">
        <f t="shared" si="6"/>
        <v>0</v>
      </c>
      <c r="O27" s="17"/>
    </row>
    <row r="28" spans="1:15" ht="15" customHeight="1" x14ac:dyDescent="0.15">
      <c r="A28" s="12"/>
      <c r="B28" s="13"/>
      <c r="C28" s="14"/>
      <c r="D28" s="14"/>
      <c r="E28" s="12"/>
      <c r="F28" s="12"/>
      <c r="G28" s="20"/>
      <c r="H28" s="21">
        <f t="shared" si="0"/>
        <v>0</v>
      </c>
      <c r="I28" s="16">
        <f t="shared" si="1"/>
        <v>0</v>
      </c>
      <c r="J28" s="16">
        <f t="shared" si="2"/>
        <v>0</v>
      </c>
      <c r="K28" s="16">
        <f t="shared" si="3"/>
        <v>0</v>
      </c>
      <c r="L28" s="16">
        <f t="shared" si="4"/>
        <v>0</v>
      </c>
      <c r="M28" s="16">
        <f t="shared" si="5"/>
        <v>0</v>
      </c>
      <c r="N28" s="16">
        <f t="shared" si="6"/>
        <v>0</v>
      </c>
      <c r="O28" s="17"/>
    </row>
    <row r="29" spans="1:15" ht="15" customHeight="1" x14ac:dyDescent="0.15">
      <c r="A29" s="12"/>
      <c r="B29" s="13"/>
      <c r="C29" s="14"/>
      <c r="D29" s="14"/>
      <c r="E29" s="12"/>
      <c r="F29" s="12"/>
      <c r="G29" s="20"/>
      <c r="H29" s="21">
        <f t="shared" si="0"/>
        <v>0</v>
      </c>
      <c r="I29" s="16">
        <f t="shared" si="1"/>
        <v>0</v>
      </c>
      <c r="J29" s="16">
        <f t="shared" si="2"/>
        <v>0</v>
      </c>
      <c r="K29" s="16">
        <f t="shared" si="3"/>
        <v>0</v>
      </c>
      <c r="L29" s="16">
        <f t="shared" si="4"/>
        <v>0</v>
      </c>
      <c r="M29" s="16">
        <f t="shared" si="5"/>
        <v>0</v>
      </c>
      <c r="N29" s="16">
        <f t="shared" si="6"/>
        <v>0</v>
      </c>
      <c r="O29" s="17"/>
    </row>
    <row r="30" spans="1:15" ht="15" customHeight="1" x14ac:dyDescent="0.15">
      <c r="A30" s="12"/>
      <c r="B30" s="13"/>
      <c r="C30" s="14"/>
      <c r="D30" s="14"/>
      <c r="E30" s="12"/>
      <c r="F30" s="12"/>
      <c r="G30" s="20"/>
      <c r="H30" s="21">
        <f t="shared" si="0"/>
        <v>0</v>
      </c>
      <c r="I30" s="16">
        <f t="shared" si="1"/>
        <v>0</v>
      </c>
      <c r="J30" s="16">
        <f t="shared" si="2"/>
        <v>0</v>
      </c>
      <c r="K30" s="16">
        <f t="shared" si="3"/>
        <v>0</v>
      </c>
      <c r="L30" s="16">
        <f t="shared" si="4"/>
        <v>0</v>
      </c>
      <c r="M30" s="16">
        <f t="shared" si="5"/>
        <v>0</v>
      </c>
      <c r="N30" s="16">
        <f t="shared" si="6"/>
        <v>0</v>
      </c>
      <c r="O30" s="17"/>
    </row>
    <row r="31" spans="1:15" ht="15" customHeight="1" x14ac:dyDescent="0.15">
      <c r="A31" s="12"/>
      <c r="B31" s="13"/>
      <c r="C31" s="14"/>
      <c r="D31" s="14"/>
      <c r="E31" s="12"/>
      <c r="F31" s="12"/>
      <c r="G31" s="20"/>
      <c r="H31" s="21">
        <f t="shared" si="0"/>
        <v>0</v>
      </c>
      <c r="I31" s="16">
        <f t="shared" si="1"/>
        <v>0</v>
      </c>
      <c r="J31" s="16">
        <f t="shared" si="2"/>
        <v>0</v>
      </c>
      <c r="K31" s="16">
        <f t="shared" si="3"/>
        <v>0</v>
      </c>
      <c r="L31" s="16">
        <f t="shared" si="4"/>
        <v>0</v>
      </c>
      <c r="M31" s="16">
        <f t="shared" si="5"/>
        <v>0</v>
      </c>
      <c r="N31" s="16">
        <f t="shared" si="6"/>
        <v>0</v>
      </c>
      <c r="O31" s="17"/>
    </row>
    <row r="32" spans="1:15" ht="15" customHeight="1" x14ac:dyDescent="0.15">
      <c r="A32" s="12"/>
      <c r="B32" s="13"/>
      <c r="C32" s="14"/>
      <c r="D32" s="14"/>
      <c r="E32" s="12"/>
      <c r="F32" s="12"/>
      <c r="G32" s="20"/>
      <c r="H32" s="21">
        <f t="shared" si="0"/>
        <v>0</v>
      </c>
      <c r="I32" s="16">
        <f t="shared" si="1"/>
        <v>0</v>
      </c>
      <c r="J32" s="16">
        <f t="shared" si="2"/>
        <v>0</v>
      </c>
      <c r="K32" s="16">
        <f t="shared" si="3"/>
        <v>0</v>
      </c>
      <c r="L32" s="16">
        <f t="shared" si="4"/>
        <v>0</v>
      </c>
      <c r="M32" s="16">
        <f t="shared" si="5"/>
        <v>0</v>
      </c>
      <c r="N32" s="16">
        <f t="shared" si="6"/>
        <v>0</v>
      </c>
      <c r="O32" s="17"/>
    </row>
    <row r="33" spans="1:15" ht="15" customHeight="1" x14ac:dyDescent="0.15">
      <c r="A33" s="12"/>
      <c r="B33" s="13"/>
      <c r="C33" s="14"/>
      <c r="D33" s="14"/>
      <c r="E33" s="12"/>
      <c r="F33" s="12"/>
      <c r="G33" s="20"/>
      <c r="H33" s="21">
        <f t="shared" si="0"/>
        <v>0</v>
      </c>
      <c r="I33" s="16">
        <f t="shared" si="1"/>
        <v>0</v>
      </c>
      <c r="J33" s="16">
        <f t="shared" si="2"/>
        <v>0</v>
      </c>
      <c r="K33" s="16">
        <f t="shared" si="3"/>
        <v>0</v>
      </c>
      <c r="L33" s="16">
        <f t="shared" si="4"/>
        <v>0</v>
      </c>
      <c r="M33" s="16">
        <f t="shared" si="5"/>
        <v>0</v>
      </c>
      <c r="N33" s="16">
        <f t="shared" si="6"/>
        <v>0</v>
      </c>
      <c r="O33" s="17"/>
    </row>
    <row r="34" spans="1:15" ht="15" customHeight="1" x14ac:dyDescent="0.15">
      <c r="A34" s="12"/>
      <c r="B34" s="13"/>
      <c r="C34" s="14"/>
      <c r="D34" s="14"/>
      <c r="E34" s="12"/>
      <c r="F34" s="12"/>
      <c r="G34" s="20"/>
      <c r="H34" s="21">
        <f t="shared" si="0"/>
        <v>0</v>
      </c>
      <c r="I34" s="16">
        <f t="shared" si="1"/>
        <v>0</v>
      </c>
      <c r="J34" s="16">
        <f t="shared" si="2"/>
        <v>0</v>
      </c>
      <c r="K34" s="16">
        <f t="shared" si="3"/>
        <v>0</v>
      </c>
      <c r="L34" s="16">
        <f t="shared" si="4"/>
        <v>0</v>
      </c>
      <c r="M34" s="16">
        <f t="shared" si="5"/>
        <v>0</v>
      </c>
      <c r="N34" s="16">
        <f t="shared" si="6"/>
        <v>0</v>
      </c>
      <c r="O34" s="17"/>
    </row>
    <row r="35" spans="1:15" ht="15" customHeight="1" x14ac:dyDescent="0.15">
      <c r="A35" s="12"/>
      <c r="B35" s="13"/>
      <c r="C35" s="14"/>
      <c r="D35" s="14"/>
      <c r="E35" s="12"/>
      <c r="F35" s="12"/>
      <c r="G35" s="20"/>
      <c r="H35" s="21">
        <f t="shared" si="0"/>
        <v>0</v>
      </c>
      <c r="I35" s="16">
        <f t="shared" si="1"/>
        <v>0</v>
      </c>
      <c r="J35" s="16">
        <f t="shared" si="2"/>
        <v>0</v>
      </c>
      <c r="K35" s="16">
        <f t="shared" si="3"/>
        <v>0</v>
      </c>
      <c r="L35" s="16">
        <f t="shared" si="4"/>
        <v>0</v>
      </c>
      <c r="M35" s="16">
        <f t="shared" si="5"/>
        <v>0</v>
      </c>
      <c r="N35" s="16">
        <f t="shared" si="6"/>
        <v>0</v>
      </c>
      <c r="O35" s="17"/>
    </row>
    <row r="36" spans="1:15" ht="15" customHeight="1" x14ac:dyDescent="0.15">
      <c r="A36" s="12"/>
      <c r="B36" s="13"/>
      <c r="C36" s="14"/>
      <c r="D36" s="14"/>
      <c r="E36" s="12"/>
      <c r="F36" s="12"/>
      <c r="G36" s="20"/>
      <c r="H36" s="21">
        <f t="shared" si="0"/>
        <v>0</v>
      </c>
      <c r="I36" s="16">
        <f t="shared" si="1"/>
        <v>0</v>
      </c>
      <c r="J36" s="16">
        <f t="shared" si="2"/>
        <v>0</v>
      </c>
      <c r="K36" s="16">
        <f t="shared" si="3"/>
        <v>0</v>
      </c>
      <c r="L36" s="16">
        <f t="shared" si="4"/>
        <v>0</v>
      </c>
      <c r="M36" s="16">
        <f t="shared" si="5"/>
        <v>0</v>
      </c>
      <c r="N36" s="16">
        <f t="shared" si="6"/>
        <v>0</v>
      </c>
      <c r="O36" s="17"/>
    </row>
    <row r="37" spans="1:15" ht="15" customHeight="1" x14ac:dyDescent="0.15">
      <c r="A37" s="12"/>
      <c r="B37" s="13"/>
      <c r="C37" s="14"/>
      <c r="D37" s="14"/>
      <c r="E37" s="12"/>
      <c r="F37" s="12"/>
      <c r="G37" s="20"/>
      <c r="H37" s="21">
        <f t="shared" si="0"/>
        <v>0</v>
      </c>
      <c r="I37" s="16">
        <f t="shared" si="1"/>
        <v>0</v>
      </c>
      <c r="J37" s="16">
        <f t="shared" si="2"/>
        <v>0</v>
      </c>
      <c r="K37" s="16">
        <f t="shared" si="3"/>
        <v>0</v>
      </c>
      <c r="L37" s="16">
        <f t="shared" si="4"/>
        <v>0</v>
      </c>
      <c r="M37" s="16">
        <f t="shared" si="5"/>
        <v>0</v>
      </c>
      <c r="N37" s="16">
        <f t="shared" si="6"/>
        <v>0</v>
      </c>
      <c r="O37" s="17"/>
    </row>
    <row r="38" spans="1:15" ht="15" customHeight="1" x14ac:dyDescent="0.15">
      <c r="A38" s="12"/>
      <c r="B38" s="13"/>
      <c r="C38" s="14"/>
      <c r="D38" s="14"/>
      <c r="E38" s="12"/>
      <c r="F38" s="12"/>
      <c r="G38" s="20"/>
      <c r="H38" s="21">
        <f t="shared" si="0"/>
        <v>0</v>
      </c>
      <c r="I38" s="16">
        <f t="shared" si="1"/>
        <v>0</v>
      </c>
      <c r="J38" s="16">
        <f t="shared" si="2"/>
        <v>0</v>
      </c>
      <c r="K38" s="16">
        <f t="shared" si="3"/>
        <v>0</v>
      </c>
      <c r="L38" s="16">
        <f t="shared" si="4"/>
        <v>0</v>
      </c>
      <c r="M38" s="16">
        <f t="shared" si="5"/>
        <v>0</v>
      </c>
      <c r="N38" s="16">
        <f t="shared" si="6"/>
        <v>0</v>
      </c>
      <c r="O38" s="17"/>
    </row>
    <row r="39" spans="1:15" ht="15" customHeight="1" x14ac:dyDescent="0.15">
      <c r="A39" s="12"/>
      <c r="B39" s="13"/>
      <c r="C39" s="14"/>
      <c r="D39" s="14"/>
      <c r="E39" s="12"/>
      <c r="F39" s="12"/>
      <c r="G39" s="20"/>
      <c r="H39" s="21">
        <f t="shared" si="0"/>
        <v>0</v>
      </c>
      <c r="I39" s="16">
        <f t="shared" si="1"/>
        <v>0</v>
      </c>
      <c r="J39" s="16">
        <f t="shared" si="2"/>
        <v>0</v>
      </c>
      <c r="K39" s="16">
        <f t="shared" si="3"/>
        <v>0</v>
      </c>
      <c r="L39" s="16">
        <f t="shared" si="4"/>
        <v>0</v>
      </c>
      <c r="M39" s="16">
        <f t="shared" si="5"/>
        <v>0</v>
      </c>
      <c r="N39" s="16">
        <f t="shared" si="6"/>
        <v>0</v>
      </c>
      <c r="O39" s="17"/>
    </row>
    <row r="40" spans="1:15" ht="15" customHeight="1" x14ac:dyDescent="0.15">
      <c r="A40" s="12"/>
      <c r="B40" s="13"/>
      <c r="C40" s="14"/>
      <c r="D40" s="14"/>
      <c r="E40" s="12"/>
      <c r="F40" s="12"/>
      <c r="G40" s="20"/>
      <c r="H40" s="21">
        <f t="shared" si="0"/>
        <v>0</v>
      </c>
      <c r="I40" s="16">
        <f t="shared" si="1"/>
        <v>0</v>
      </c>
      <c r="J40" s="16">
        <f t="shared" si="2"/>
        <v>0</v>
      </c>
      <c r="K40" s="16">
        <f t="shared" si="3"/>
        <v>0</v>
      </c>
      <c r="L40" s="16">
        <f t="shared" si="4"/>
        <v>0</v>
      </c>
      <c r="M40" s="16">
        <f t="shared" si="5"/>
        <v>0</v>
      </c>
      <c r="N40" s="16">
        <f t="shared" si="6"/>
        <v>0</v>
      </c>
      <c r="O40" s="17"/>
    </row>
    <row r="41" spans="1:15" ht="15" customHeight="1" x14ac:dyDescent="0.15">
      <c r="A41" s="12"/>
      <c r="B41" s="13"/>
      <c r="C41" s="14"/>
      <c r="D41" s="14"/>
      <c r="E41" s="12"/>
      <c r="F41" s="12"/>
      <c r="G41" s="20"/>
      <c r="H41" s="21">
        <f t="shared" si="0"/>
        <v>0</v>
      </c>
      <c r="I41" s="16">
        <f t="shared" si="1"/>
        <v>0</v>
      </c>
      <c r="J41" s="16">
        <f t="shared" si="2"/>
        <v>0</v>
      </c>
      <c r="K41" s="16">
        <f t="shared" si="3"/>
        <v>0</v>
      </c>
      <c r="L41" s="16">
        <f t="shared" si="4"/>
        <v>0</v>
      </c>
      <c r="M41" s="16">
        <f t="shared" si="5"/>
        <v>0</v>
      </c>
      <c r="N41" s="16">
        <f t="shared" si="6"/>
        <v>0</v>
      </c>
      <c r="O41" s="17"/>
    </row>
    <row r="42" spans="1:15" ht="15" customHeight="1" x14ac:dyDescent="0.15">
      <c r="A42" s="12"/>
      <c r="B42" s="13"/>
      <c r="C42" s="14"/>
      <c r="D42" s="14"/>
      <c r="E42" s="12"/>
      <c r="F42" s="12"/>
      <c r="G42" s="20">
        <v>0</v>
      </c>
      <c r="H42" s="21">
        <f t="shared" si="0"/>
        <v>0</v>
      </c>
      <c r="I42" s="16">
        <f t="shared" si="1"/>
        <v>0</v>
      </c>
      <c r="J42" s="16">
        <f t="shared" si="2"/>
        <v>0</v>
      </c>
      <c r="K42" s="16">
        <f t="shared" si="3"/>
        <v>0</v>
      </c>
      <c r="L42" s="16">
        <f t="shared" si="4"/>
        <v>0</v>
      </c>
      <c r="M42" s="16">
        <f t="shared" si="5"/>
        <v>0</v>
      </c>
      <c r="N42" s="16">
        <f t="shared" si="6"/>
        <v>0</v>
      </c>
      <c r="O42" s="17"/>
    </row>
    <row r="43" spans="1:15" ht="15" customHeight="1" x14ac:dyDescent="0.15">
      <c r="A43" s="12"/>
      <c r="B43" s="13"/>
      <c r="C43" s="14"/>
      <c r="D43" s="14"/>
      <c r="E43" s="12"/>
      <c r="F43" s="12"/>
      <c r="G43" s="20">
        <v>0</v>
      </c>
      <c r="H43" s="21">
        <f t="shared" si="0"/>
        <v>0</v>
      </c>
      <c r="I43" s="16">
        <f t="shared" si="1"/>
        <v>0</v>
      </c>
      <c r="J43" s="16">
        <f t="shared" si="2"/>
        <v>0</v>
      </c>
      <c r="K43" s="16">
        <f t="shared" si="3"/>
        <v>0</v>
      </c>
      <c r="L43" s="16">
        <f t="shared" si="4"/>
        <v>0</v>
      </c>
      <c r="M43" s="16">
        <f t="shared" si="5"/>
        <v>0</v>
      </c>
      <c r="N43" s="16">
        <f t="shared" si="6"/>
        <v>0</v>
      </c>
      <c r="O43" s="17"/>
    </row>
    <row r="44" spans="1:15" ht="15" customHeight="1" x14ac:dyDescent="0.15">
      <c r="A44" s="12"/>
      <c r="B44" s="13"/>
      <c r="C44" s="14"/>
      <c r="D44" s="14"/>
      <c r="E44" s="12"/>
      <c r="F44" s="12"/>
      <c r="G44" s="20">
        <v>0</v>
      </c>
      <c r="H44" s="21">
        <f t="shared" si="0"/>
        <v>0</v>
      </c>
      <c r="I44" s="16">
        <f t="shared" si="1"/>
        <v>0</v>
      </c>
      <c r="J44" s="16">
        <f t="shared" si="2"/>
        <v>0</v>
      </c>
      <c r="K44" s="16">
        <f t="shared" si="3"/>
        <v>0</v>
      </c>
      <c r="L44" s="16">
        <f t="shared" si="4"/>
        <v>0</v>
      </c>
      <c r="M44" s="16">
        <f t="shared" si="5"/>
        <v>0</v>
      </c>
      <c r="N44" s="16">
        <f t="shared" si="6"/>
        <v>0</v>
      </c>
      <c r="O44" s="17"/>
    </row>
    <row r="45" spans="1:15" ht="15" customHeight="1" x14ac:dyDescent="0.15">
      <c r="A45" s="12"/>
      <c r="B45" s="13"/>
      <c r="C45" s="14"/>
      <c r="D45" s="14"/>
      <c r="E45" s="12"/>
      <c r="F45" s="12"/>
      <c r="G45" s="20">
        <v>0</v>
      </c>
      <c r="H45" s="21">
        <f t="shared" si="0"/>
        <v>0</v>
      </c>
      <c r="I45" s="16">
        <f t="shared" si="1"/>
        <v>0</v>
      </c>
      <c r="J45" s="16">
        <f t="shared" si="2"/>
        <v>0</v>
      </c>
      <c r="K45" s="16">
        <f t="shared" si="3"/>
        <v>0</v>
      </c>
      <c r="L45" s="16">
        <f t="shared" si="4"/>
        <v>0</v>
      </c>
      <c r="M45" s="16">
        <f t="shared" si="5"/>
        <v>0</v>
      </c>
      <c r="N45" s="16">
        <f t="shared" si="6"/>
        <v>0</v>
      </c>
      <c r="O45" s="17"/>
    </row>
    <row r="46" spans="1:15" ht="15" customHeight="1" x14ac:dyDescent="0.15">
      <c r="A46" s="12"/>
      <c r="B46" s="13"/>
      <c r="C46" s="14"/>
      <c r="D46" s="14"/>
      <c r="E46" s="12"/>
      <c r="F46" s="12"/>
      <c r="G46" s="20">
        <v>0</v>
      </c>
      <c r="H46" s="21">
        <f t="shared" si="0"/>
        <v>0</v>
      </c>
      <c r="I46" s="16">
        <f t="shared" si="1"/>
        <v>0</v>
      </c>
      <c r="J46" s="16">
        <f t="shared" si="2"/>
        <v>0</v>
      </c>
      <c r="K46" s="16">
        <f t="shared" si="3"/>
        <v>0</v>
      </c>
      <c r="L46" s="16">
        <f t="shared" si="4"/>
        <v>0</v>
      </c>
      <c r="M46" s="16">
        <f t="shared" si="5"/>
        <v>0</v>
      </c>
      <c r="N46" s="16">
        <f t="shared" si="6"/>
        <v>0</v>
      </c>
      <c r="O46" s="17"/>
    </row>
    <row r="47" spans="1:15" ht="15" customHeight="1" x14ac:dyDescent="0.15">
      <c r="A47" s="12"/>
      <c r="B47" s="13"/>
      <c r="C47" s="14"/>
      <c r="D47" s="14"/>
      <c r="E47" s="12"/>
      <c r="F47" s="12"/>
      <c r="G47" s="20">
        <v>0</v>
      </c>
      <c r="H47" s="21">
        <f t="shared" si="0"/>
        <v>0</v>
      </c>
      <c r="I47" s="16">
        <f t="shared" si="1"/>
        <v>0</v>
      </c>
      <c r="J47" s="16">
        <f t="shared" si="2"/>
        <v>0</v>
      </c>
      <c r="K47" s="16">
        <f t="shared" si="3"/>
        <v>0</v>
      </c>
      <c r="L47" s="16">
        <f t="shared" si="4"/>
        <v>0</v>
      </c>
      <c r="M47" s="16">
        <f t="shared" si="5"/>
        <v>0</v>
      </c>
      <c r="N47" s="16">
        <f t="shared" si="6"/>
        <v>0</v>
      </c>
      <c r="O47" s="17"/>
    </row>
    <row r="48" spans="1:15" ht="15" customHeight="1" x14ac:dyDescent="0.15">
      <c r="A48" s="12"/>
      <c r="B48" s="13"/>
      <c r="C48" s="14"/>
      <c r="D48" s="14"/>
      <c r="E48" s="12"/>
      <c r="F48" s="12"/>
      <c r="G48" s="20">
        <v>0</v>
      </c>
      <c r="H48" s="21">
        <f t="shared" si="0"/>
        <v>0</v>
      </c>
      <c r="I48" s="16">
        <f t="shared" si="1"/>
        <v>0</v>
      </c>
      <c r="J48" s="16">
        <f t="shared" si="2"/>
        <v>0</v>
      </c>
      <c r="K48" s="16">
        <f t="shared" si="3"/>
        <v>0</v>
      </c>
      <c r="L48" s="16">
        <f t="shared" si="4"/>
        <v>0</v>
      </c>
      <c r="M48" s="16">
        <f t="shared" si="5"/>
        <v>0</v>
      </c>
      <c r="N48" s="16">
        <f t="shared" si="6"/>
        <v>0</v>
      </c>
      <c r="O48" s="17"/>
    </row>
    <row r="49" spans="1:15" ht="15" customHeight="1" x14ac:dyDescent="0.15">
      <c r="A49" s="12"/>
      <c r="B49" s="13"/>
      <c r="C49" s="14"/>
      <c r="D49" s="14"/>
      <c r="E49" s="12"/>
      <c r="F49" s="12"/>
      <c r="G49" s="20">
        <v>0</v>
      </c>
      <c r="H49" s="21">
        <f t="shared" si="0"/>
        <v>0</v>
      </c>
      <c r="I49" s="16">
        <f t="shared" si="1"/>
        <v>0</v>
      </c>
      <c r="J49" s="16">
        <f t="shared" si="2"/>
        <v>0</v>
      </c>
      <c r="K49" s="16">
        <f t="shared" si="3"/>
        <v>0</v>
      </c>
      <c r="L49" s="16">
        <f t="shared" si="4"/>
        <v>0</v>
      </c>
      <c r="M49" s="16">
        <f t="shared" si="5"/>
        <v>0</v>
      </c>
      <c r="N49" s="16">
        <f t="shared" si="6"/>
        <v>0</v>
      </c>
      <c r="O49" s="17"/>
    </row>
    <row r="50" spans="1:15" ht="15" customHeight="1" x14ac:dyDescent="0.15">
      <c r="A50" s="12"/>
      <c r="B50" s="13"/>
      <c r="C50" s="14"/>
      <c r="D50" s="14"/>
      <c r="E50" s="12"/>
      <c r="F50" s="12"/>
      <c r="G50" s="20">
        <v>0</v>
      </c>
      <c r="H50" s="21">
        <f t="shared" si="0"/>
        <v>0</v>
      </c>
      <c r="I50" s="16">
        <f t="shared" si="1"/>
        <v>0</v>
      </c>
      <c r="J50" s="16">
        <f t="shared" si="2"/>
        <v>0</v>
      </c>
      <c r="K50" s="16">
        <f t="shared" si="3"/>
        <v>0</v>
      </c>
      <c r="L50" s="16">
        <f t="shared" si="4"/>
        <v>0</v>
      </c>
      <c r="M50" s="16">
        <f t="shared" si="5"/>
        <v>0</v>
      </c>
      <c r="N50" s="16">
        <f t="shared" si="6"/>
        <v>0</v>
      </c>
      <c r="O50" s="17"/>
    </row>
    <row r="51" spans="1:15" ht="15" customHeight="1" x14ac:dyDescent="0.15">
      <c r="A51" s="12"/>
      <c r="B51" s="22"/>
      <c r="C51" s="19"/>
      <c r="D51" s="19"/>
      <c r="E51" s="12"/>
      <c r="F51" s="12"/>
      <c r="G51" s="20">
        <v>0</v>
      </c>
      <c r="H51" s="21">
        <f t="shared" si="0"/>
        <v>0</v>
      </c>
      <c r="I51" s="16">
        <f t="shared" si="1"/>
        <v>0</v>
      </c>
      <c r="J51" s="16">
        <f t="shared" si="2"/>
        <v>0</v>
      </c>
      <c r="K51" s="16">
        <f t="shared" si="3"/>
        <v>0</v>
      </c>
      <c r="L51" s="16">
        <f t="shared" si="4"/>
        <v>0</v>
      </c>
      <c r="M51" s="16">
        <f t="shared" si="5"/>
        <v>0</v>
      </c>
      <c r="N51" s="16">
        <f t="shared" si="6"/>
        <v>0</v>
      </c>
      <c r="O51" s="17"/>
    </row>
    <row r="52" spans="1:15" ht="15" customHeight="1" x14ac:dyDescent="0.15">
      <c r="A52" s="34"/>
      <c r="B52" s="35"/>
      <c r="C52" s="36"/>
      <c r="D52" s="36"/>
      <c r="E52" s="37" t="s">
        <v>33</v>
      </c>
      <c r="F52" s="38"/>
      <c r="G52" s="39">
        <f t="shared" ref="G52:N52" si="7">ROUND(SUM(G12:G51),2)</f>
        <v>0</v>
      </c>
      <c r="H52" s="39">
        <f t="shared" si="7"/>
        <v>0</v>
      </c>
      <c r="I52" s="39">
        <f t="shared" si="7"/>
        <v>0</v>
      </c>
      <c r="J52" s="39">
        <f t="shared" si="7"/>
        <v>0</v>
      </c>
      <c r="K52" s="39">
        <f t="shared" si="7"/>
        <v>0</v>
      </c>
      <c r="L52" s="39">
        <f t="shared" si="7"/>
        <v>0</v>
      </c>
      <c r="M52" s="39">
        <f t="shared" si="7"/>
        <v>0</v>
      </c>
      <c r="N52" s="39">
        <f t="shared" si="7"/>
        <v>0</v>
      </c>
      <c r="O52" s="40"/>
    </row>
    <row r="53" spans="1:15" ht="15" customHeight="1" x14ac:dyDescent="0.15">
      <c r="A53" s="41"/>
      <c r="B53" s="42"/>
      <c r="E53" s="42"/>
      <c r="F53" s="42"/>
      <c r="G53" s="201" t="s">
        <v>34</v>
      </c>
      <c r="H53" s="201"/>
      <c r="I53" s="43"/>
      <c r="J53" s="43"/>
      <c r="K53" s="43"/>
      <c r="L53" s="43" t="s">
        <v>35</v>
      </c>
      <c r="M53" s="43"/>
      <c r="N53" s="43"/>
      <c r="O53" s="44"/>
    </row>
    <row r="54" spans="1:15" ht="34.5" customHeight="1" x14ac:dyDescent="0.15">
      <c r="B54" s="213"/>
      <c r="C54" s="213"/>
      <c r="D54" s="213"/>
      <c r="E54" s="213"/>
      <c r="G54" s="45" t="s">
        <v>36</v>
      </c>
      <c r="H54" s="46" t="s">
        <v>37</v>
      </c>
      <c r="I54" s="47">
        <v>95285</v>
      </c>
      <c r="J54" s="47">
        <v>95265</v>
      </c>
      <c r="K54" s="47">
        <v>95143</v>
      </c>
      <c r="L54" s="47">
        <v>95141</v>
      </c>
      <c r="M54" s="47">
        <v>95185</v>
      </c>
      <c r="N54" s="47">
        <v>95195</v>
      </c>
      <c r="O54" s="193" t="s">
        <v>38</v>
      </c>
    </row>
    <row r="55" spans="1:15" ht="15" customHeight="1" x14ac:dyDescent="0.15">
      <c r="B55" s="213"/>
      <c r="C55" s="213"/>
      <c r="D55" s="213"/>
      <c r="E55" s="213"/>
      <c r="G55" s="194">
        <f>+G52-H52-SUM(I66:N66)</f>
        <v>0</v>
      </c>
      <c r="H55" s="46" t="s">
        <v>39</v>
      </c>
      <c r="I55" s="47">
        <v>91285</v>
      </c>
      <c r="J55" s="47">
        <v>91235</v>
      </c>
      <c r="K55" s="49"/>
      <c r="L55" s="49"/>
      <c r="M55" s="49"/>
      <c r="N55" s="47" t="s">
        <v>40</v>
      </c>
      <c r="O55" s="193"/>
    </row>
    <row r="56" spans="1:15" ht="15" customHeight="1" x14ac:dyDescent="0.15">
      <c r="A56" s="41"/>
      <c r="B56" s="50"/>
      <c r="C56" s="50"/>
      <c r="D56" s="50"/>
      <c r="E56" s="50"/>
      <c r="F56" s="42"/>
      <c r="G56" s="194"/>
      <c r="H56" s="46"/>
      <c r="I56" s="47"/>
      <c r="J56" s="47"/>
      <c r="K56" s="49"/>
      <c r="L56" s="49"/>
      <c r="M56" s="49"/>
      <c r="N56" s="47"/>
      <c r="O56" s="48"/>
    </row>
    <row r="57" spans="1:15" ht="15" customHeight="1" x14ac:dyDescent="0.15">
      <c r="G57" s="194"/>
      <c r="H57" s="46" t="s">
        <v>42</v>
      </c>
      <c r="I57" s="47">
        <v>16185</v>
      </c>
      <c r="J57" s="47">
        <v>16185</v>
      </c>
      <c r="K57" s="47">
        <v>16185</v>
      </c>
      <c r="L57" s="47">
        <v>16185</v>
      </c>
      <c r="M57" s="47">
        <v>16185</v>
      </c>
      <c r="N57" s="47">
        <v>16185</v>
      </c>
      <c r="O57" s="52"/>
    </row>
    <row r="58" spans="1:15" ht="15" customHeight="1" x14ac:dyDescent="0.15">
      <c r="G58" s="53"/>
      <c r="H58" s="54"/>
      <c r="I58" s="55"/>
      <c r="J58" s="55"/>
      <c r="K58" s="55"/>
      <c r="L58" s="55"/>
      <c r="M58" s="55"/>
      <c r="N58" s="55"/>
      <c r="O58" s="56"/>
    </row>
    <row r="59" spans="1:15" ht="20" customHeight="1" x14ac:dyDescent="0.15">
      <c r="A59" s="213"/>
      <c r="B59" s="213"/>
      <c r="C59" s="213"/>
      <c r="D59" s="213"/>
      <c r="E59" s="213"/>
      <c r="F59" s="213"/>
      <c r="G59" s="197" t="s">
        <v>46</v>
      </c>
      <c r="H59" s="43" t="s">
        <v>31</v>
      </c>
      <c r="I59" s="58">
        <f>SUMIF($E$12:$E$51,"=P10",I$12:I$51)</f>
        <v>0</v>
      </c>
      <c r="J59" s="58">
        <f>SUMIF($E$12:$E$51,"=P10",J$12:J$51)</f>
        <v>0</v>
      </c>
      <c r="K59" s="60" t="s">
        <v>47</v>
      </c>
      <c r="L59" s="58">
        <f>SUMIF($E$12:$E$51,"=P10",L$12:L$51)</f>
        <v>0</v>
      </c>
      <c r="M59" s="58">
        <f>SUMIF($E$12:$E$51,"=P10",M$12:M$51)</f>
        <v>0</v>
      </c>
      <c r="N59" s="58">
        <f>SUMIF($E$12:$E$51,"=P10",N$12:N$51)</f>
        <v>0</v>
      </c>
      <c r="O59" s="44">
        <f>SUM(I59:N59)</f>
        <v>0</v>
      </c>
    </row>
    <row r="60" spans="1:15" ht="20" customHeight="1" x14ac:dyDescent="0.15">
      <c r="A60" s="213"/>
      <c r="B60" s="213"/>
      <c r="C60" s="213"/>
      <c r="D60" s="213"/>
      <c r="E60" s="213"/>
      <c r="F60" s="213"/>
      <c r="G60" s="197"/>
      <c r="H60" s="23"/>
      <c r="I60" s="21"/>
      <c r="J60" s="21"/>
      <c r="K60" s="117"/>
      <c r="L60" s="21"/>
      <c r="M60" s="21"/>
      <c r="N60" s="21"/>
      <c r="O60" s="52"/>
    </row>
    <row r="61" spans="1:15" ht="20" customHeight="1" x14ac:dyDescent="0.15">
      <c r="A61" s="213"/>
      <c r="B61" s="214"/>
      <c r="C61" s="213"/>
      <c r="D61" s="213"/>
      <c r="E61" s="213"/>
      <c r="F61" s="213"/>
      <c r="G61" s="215" t="s">
        <v>50</v>
      </c>
      <c r="H61" s="23" t="s">
        <v>51</v>
      </c>
      <c r="I61" s="63"/>
      <c r="J61" s="21">
        <f>SUMIF($E$12:$E$51,"=P99",J$12:J$51)</f>
        <v>0</v>
      </c>
      <c r="K61" s="63"/>
      <c r="L61" s="63"/>
      <c r="M61" s="63"/>
      <c r="N61" s="63"/>
      <c r="O61" s="52">
        <f t="shared" ref="O61:O66" si="8">SUM(I61:N61)</f>
        <v>0</v>
      </c>
    </row>
    <row r="62" spans="1:15" ht="20" customHeight="1" x14ac:dyDescent="0.15">
      <c r="A62" s="213"/>
      <c r="B62" s="213"/>
      <c r="C62" s="213"/>
      <c r="D62" s="213"/>
      <c r="E62" s="213"/>
      <c r="F62" s="213"/>
      <c r="G62" s="215"/>
      <c r="H62" s="23" t="s">
        <v>52</v>
      </c>
      <c r="I62" s="63"/>
      <c r="J62" s="21">
        <f>SUMIF($E$12:$E$51,"=P98",J$12:J$51)</f>
        <v>0</v>
      </c>
      <c r="K62" s="63"/>
      <c r="L62" s="63"/>
      <c r="M62" s="63"/>
      <c r="N62" s="63"/>
      <c r="O62" s="52">
        <f t="shared" si="8"/>
        <v>0</v>
      </c>
    </row>
    <row r="63" spans="1:15" ht="20" customHeight="1" x14ac:dyDescent="0.15">
      <c r="B63"/>
      <c r="C63" s="213"/>
      <c r="D63" s="213"/>
      <c r="E63" s="213"/>
      <c r="F63" s="213"/>
      <c r="G63" s="215"/>
      <c r="H63" s="23" t="s">
        <v>54</v>
      </c>
      <c r="I63" s="21">
        <f>SUMIF($E$12:$E$51,"=P30",I$12:I$51)</f>
        <v>0</v>
      </c>
      <c r="J63" s="21">
        <f>SUMIF($E$12:$E$51,"=P30",J$12:J$51)</f>
        <v>0</v>
      </c>
      <c r="K63" s="63"/>
      <c r="L63" s="21">
        <f>SUMIF($E$12:$E$51,"=P30",L$12:L$51)</f>
        <v>0</v>
      </c>
      <c r="M63" s="21">
        <f>SUMIF($E$12:$E$51,"=P30",M$12:M$51)</f>
        <v>0</v>
      </c>
      <c r="N63" s="21">
        <f>SUMIF($E$12:$E$51,"=P30",N$12:N$51)</f>
        <v>0</v>
      </c>
      <c r="O63" s="52">
        <f t="shared" si="8"/>
        <v>0</v>
      </c>
    </row>
    <row r="64" spans="1:15" ht="20" customHeight="1" x14ac:dyDescent="0.15">
      <c r="A64" s="213"/>
      <c r="B64" s="214"/>
      <c r="C64" s="213"/>
      <c r="D64" s="213"/>
      <c r="E64" s="213"/>
      <c r="F64" s="213"/>
      <c r="G64" s="215"/>
      <c r="H64" s="23" t="s">
        <v>57</v>
      </c>
      <c r="I64" s="21">
        <f>SUMIF($E$12:$E$51,"=P01",I$12:I$51)</f>
        <v>0</v>
      </c>
      <c r="J64" s="21">
        <f>SUMIF($E$12:$E$51,"=P01",J$12:J$51)</f>
        <v>0</v>
      </c>
      <c r="K64" s="63"/>
      <c r="L64" s="21">
        <f>SUMIF($E$12:$E$51,"=P01",L$12:L$51)</f>
        <v>0</v>
      </c>
      <c r="M64" s="21">
        <f>SUMIF($E$12:$E$51,"=P01",M$12:M$51)</f>
        <v>0</v>
      </c>
      <c r="N64" s="21">
        <f>SUMIF($E$12:$E$51,"=P01",N$12:N$51)</f>
        <v>0</v>
      </c>
      <c r="O64" s="52">
        <f t="shared" si="8"/>
        <v>0</v>
      </c>
    </row>
    <row r="65" spans="1:15" ht="20" customHeight="1" x14ac:dyDescent="0.15">
      <c r="A65" s="213"/>
      <c r="B65" s="213"/>
      <c r="C65" s="213"/>
      <c r="D65" s="213"/>
      <c r="E65" s="213"/>
      <c r="F65" s="213"/>
      <c r="G65" s="215"/>
      <c r="H65" s="23" t="s">
        <v>58</v>
      </c>
      <c r="I65" s="21">
        <f>SUMIF($E$12:$E$51,"=P32",I$12:I$51)</f>
        <v>0</v>
      </c>
      <c r="J65" s="21">
        <f>SUMIF($E$12:$E$51,"=P32",J$12:J$51)</f>
        <v>0</v>
      </c>
      <c r="K65" s="63"/>
      <c r="L65" s="21">
        <f>SUMIF($E$12:$E$51,"=P32",L$12:L$51)</f>
        <v>0</v>
      </c>
      <c r="M65" s="21">
        <f>SUMIF($E$12:$E$51,"=P32",M$12:M$51)</f>
        <v>0</v>
      </c>
      <c r="N65" s="21">
        <f>SUMIF($E$12:$E$51,"=P32",N$12:N$51)</f>
        <v>0</v>
      </c>
      <c r="O65" s="52">
        <f t="shared" si="8"/>
        <v>0</v>
      </c>
    </row>
    <row r="66" spans="1:15" ht="15" customHeight="1" x14ac:dyDescent="0.15">
      <c r="G66" s="215"/>
      <c r="H66" s="23" t="s">
        <v>47</v>
      </c>
      <c r="I66" s="21">
        <f>SUMIF($E$12:$E$51,"=P61",I$12:I$51)</f>
        <v>0</v>
      </c>
      <c r="J66" s="21">
        <f>SUMIF($E$12:$E$51,"=P61",J$12:J$51)</f>
        <v>0</v>
      </c>
      <c r="K66" s="67">
        <f>K52-K68</f>
        <v>0</v>
      </c>
      <c r="L66" s="21">
        <f>SUMIF($E$12:$E$51,"=P61",L$12:L$51)</f>
        <v>0</v>
      </c>
      <c r="M66" s="21">
        <f>SUMIF($E$12:$E$51,"=P61",M$12:M$51)</f>
        <v>0</v>
      </c>
      <c r="N66" s="21">
        <f>SUMIF($E$12:$E$51,"=P61",N$12:N$51)</f>
        <v>0</v>
      </c>
      <c r="O66" s="52">
        <f t="shared" si="8"/>
        <v>0</v>
      </c>
    </row>
    <row r="67" spans="1:15" ht="15" customHeight="1" x14ac:dyDescent="0.15">
      <c r="B67"/>
      <c r="C67" s="213"/>
      <c r="D67" s="213"/>
      <c r="G67" s="215"/>
      <c r="H67" s="54" t="s">
        <v>59</v>
      </c>
      <c r="I67" s="75">
        <f t="shared" ref="I67:N67" si="9">SUM(I59:I66)</f>
        <v>0</v>
      </c>
      <c r="J67" s="75">
        <f t="shared" si="9"/>
        <v>0</v>
      </c>
      <c r="K67" s="74">
        <f t="shared" si="9"/>
        <v>0</v>
      </c>
      <c r="L67" s="75">
        <f t="shared" si="9"/>
        <v>0</v>
      </c>
      <c r="M67" s="75">
        <f t="shared" si="9"/>
        <v>0</v>
      </c>
      <c r="N67" s="75">
        <f t="shared" si="9"/>
        <v>0</v>
      </c>
      <c r="O67" s="56"/>
    </row>
    <row r="68" spans="1:15" ht="15" customHeight="1" x14ac:dyDescent="0.15">
      <c r="A68" s="68"/>
      <c r="B68" s="69"/>
      <c r="E68" s="70"/>
      <c r="K68" s="79">
        <f>(SUMIF($E$12:$E$51,"=P61",K$12:K$51)*20/120)</f>
        <v>0</v>
      </c>
    </row>
    <row r="69" spans="1:15" ht="15" customHeight="1" x14ac:dyDescent="0.15">
      <c r="G69" s="42"/>
      <c r="H69" s="111"/>
      <c r="I69" s="42"/>
      <c r="J69" s="111"/>
      <c r="K69" s="111"/>
      <c r="L69" s="42"/>
      <c r="M69" s="42"/>
      <c r="N69" s="70"/>
      <c r="O69" s="70"/>
    </row>
    <row r="70" spans="1:15" ht="13" customHeight="1" x14ac:dyDescent="0.15">
      <c r="A70" s="112" t="s">
        <v>70</v>
      </c>
      <c r="B70" s="112" t="s">
        <v>71</v>
      </c>
      <c r="C70" s="112"/>
      <c r="D70" s="112"/>
      <c r="E70" s="5" t="s">
        <v>72</v>
      </c>
      <c r="F70" s="5"/>
      <c r="G70" s="5"/>
      <c r="H70" s="5"/>
      <c r="I70" s="5"/>
      <c r="J70" s="113"/>
    </row>
    <row r="71" spans="1:15" ht="20.25" customHeight="1" x14ac:dyDescent="0.15">
      <c r="A71" s="112"/>
      <c r="B71" s="112"/>
      <c r="C71" s="112"/>
      <c r="D71" s="112"/>
      <c r="E71" s="5" t="s">
        <v>73</v>
      </c>
      <c r="F71" s="5" t="s">
        <v>74</v>
      </c>
      <c r="G71" s="5"/>
      <c r="H71" s="5"/>
      <c r="I71" s="114"/>
      <c r="J71" s="70"/>
      <c r="K71" s="70"/>
      <c r="M71" s="115"/>
      <c r="N71" s="70"/>
    </row>
    <row r="72" spans="1:15" ht="15" customHeight="1" x14ac:dyDescent="0.15">
      <c r="A72" s="112" t="s">
        <v>44</v>
      </c>
      <c r="B72" s="5" t="s">
        <v>31</v>
      </c>
      <c r="C72" s="5" t="s">
        <v>75</v>
      </c>
      <c r="D72" s="5"/>
      <c r="E72" s="5" t="s">
        <v>28</v>
      </c>
      <c r="F72" s="178" t="s">
        <v>76</v>
      </c>
      <c r="G72" s="178"/>
      <c r="H72" s="116"/>
      <c r="I72" s="114"/>
      <c r="J72" s="70"/>
      <c r="K72" s="70"/>
      <c r="L72" s="70"/>
      <c r="M72" s="70"/>
      <c r="N72" s="70"/>
    </row>
    <row r="73" spans="1:15" ht="16.5" customHeight="1" x14ac:dyDescent="0.15">
      <c r="A73" s="5" t="s">
        <v>77</v>
      </c>
      <c r="B73" s="112" t="s">
        <v>51</v>
      </c>
      <c r="C73" s="112" t="s">
        <v>78</v>
      </c>
      <c r="D73" s="112"/>
      <c r="E73" s="5" t="s">
        <v>79</v>
      </c>
      <c r="F73" s="178" t="s">
        <v>80</v>
      </c>
      <c r="G73" s="178"/>
      <c r="H73" s="5"/>
      <c r="I73" s="114"/>
      <c r="J73" s="70"/>
      <c r="K73" s="70"/>
      <c r="L73" s="70"/>
      <c r="M73" s="70"/>
      <c r="N73" s="70"/>
    </row>
    <row r="74" spans="1:15" ht="12.75" customHeight="1" x14ac:dyDescent="0.15">
      <c r="A74" s="114"/>
      <c r="B74" s="112" t="s">
        <v>52</v>
      </c>
      <c r="C74" s="112" t="s">
        <v>81</v>
      </c>
      <c r="D74" s="112"/>
      <c r="E74" s="5" t="s">
        <v>82</v>
      </c>
      <c r="F74" s="178" t="s">
        <v>83</v>
      </c>
      <c r="G74" s="178"/>
      <c r="H74" s="5"/>
      <c r="I74" s="114"/>
      <c r="J74" s="70"/>
      <c r="K74" s="70"/>
      <c r="L74" s="70"/>
      <c r="M74" s="70"/>
      <c r="N74" s="70"/>
    </row>
    <row r="75" spans="1:15" ht="17.25" customHeight="1" x14ac:dyDescent="0.15">
      <c r="A75" s="114"/>
      <c r="B75" s="112" t="s">
        <v>54</v>
      </c>
      <c r="C75" s="112" t="s">
        <v>84</v>
      </c>
      <c r="D75" s="112"/>
      <c r="E75" s="5" t="s">
        <v>85</v>
      </c>
      <c r="F75" s="179" t="s">
        <v>86</v>
      </c>
      <c r="G75" s="179"/>
      <c r="H75" s="114"/>
      <c r="I75" s="114"/>
      <c r="J75" s="70"/>
      <c r="K75" s="70"/>
      <c r="L75" s="70"/>
      <c r="M75" s="70">
        <f>M72+M73</f>
        <v>0</v>
      </c>
      <c r="N75" s="70"/>
    </row>
    <row r="76" spans="1:15" ht="12.75" customHeight="1" x14ac:dyDescent="0.15">
      <c r="A76" s="114"/>
      <c r="B76" s="112" t="s">
        <v>57</v>
      </c>
      <c r="C76" s="112" t="s">
        <v>87</v>
      </c>
      <c r="D76" s="112"/>
      <c r="E76" s="5" t="s">
        <v>88</v>
      </c>
      <c r="F76" s="178" t="s">
        <v>89</v>
      </c>
      <c r="G76" s="178"/>
      <c r="H76" s="114"/>
      <c r="I76" s="114"/>
      <c r="J76" s="70"/>
      <c r="K76" s="70"/>
      <c r="L76" s="70"/>
      <c r="M76" s="70"/>
      <c r="N76" s="70"/>
    </row>
    <row r="77" spans="1:15" ht="13" customHeight="1" x14ac:dyDescent="0.15">
      <c r="A77" s="5"/>
      <c r="B77" s="112" t="s">
        <v>58</v>
      </c>
      <c r="C77" s="112" t="s">
        <v>92</v>
      </c>
      <c r="D77" s="112"/>
      <c r="E77" s="5"/>
      <c r="F77" s="5"/>
      <c r="G77" s="5"/>
      <c r="H77" s="5"/>
      <c r="I77" s="5"/>
    </row>
    <row r="78" spans="1:15" ht="13" customHeight="1" x14ac:dyDescent="0.15">
      <c r="A78" s="5"/>
      <c r="B78" s="112" t="s">
        <v>47</v>
      </c>
      <c r="C78" s="112" t="s">
        <v>91</v>
      </c>
      <c r="D78" s="112"/>
      <c r="E78" s="112"/>
      <c r="F78" s="5"/>
      <c r="G78" s="5"/>
      <c r="H78" s="5"/>
      <c r="I78" s="5"/>
    </row>
    <row r="79" spans="1:15" ht="13" customHeight="1" x14ac:dyDescent="0.15">
      <c r="A79" s="5"/>
      <c r="B79" s="5"/>
      <c r="C79" s="5"/>
      <c r="D79" s="5"/>
      <c r="E79" s="112"/>
      <c r="F79" s="5"/>
      <c r="G79" s="5"/>
      <c r="H79" s="5"/>
      <c r="I79" s="5"/>
    </row>
    <row r="80" spans="1:15" x14ac:dyDescent="0.15">
      <c r="B80" s="118"/>
    </row>
    <row r="81" spans="2:2" x14ac:dyDescent="0.15">
      <c r="B81" s="51"/>
    </row>
  </sheetData>
  <mergeCells count="50">
    <mergeCell ref="A1:G3"/>
    <mergeCell ref="H1:N3"/>
    <mergeCell ref="A4:B5"/>
    <mergeCell ref="C4:D5"/>
    <mergeCell ref="E4:H5"/>
    <mergeCell ref="I4:K5"/>
    <mergeCell ref="N4:N5"/>
    <mergeCell ref="O4:O7"/>
    <mergeCell ref="A6:B7"/>
    <mergeCell ref="C6:D7"/>
    <mergeCell ref="E6:H7"/>
    <mergeCell ref="I6:K7"/>
    <mergeCell ref="L6:L7"/>
    <mergeCell ref="M6:M7"/>
    <mergeCell ref="N6:N7"/>
    <mergeCell ref="A8:A10"/>
    <mergeCell ref="B8:B10"/>
    <mergeCell ref="C8:D10"/>
    <mergeCell ref="E8:E10"/>
    <mergeCell ref="F8:F10"/>
    <mergeCell ref="L8:L10"/>
    <mergeCell ref="M8:M10"/>
    <mergeCell ref="N8:N10"/>
    <mergeCell ref="O8:O10"/>
    <mergeCell ref="G53:H53"/>
    <mergeCell ref="G8:G10"/>
    <mergeCell ref="H8:H10"/>
    <mergeCell ref="I8:I10"/>
    <mergeCell ref="J8:J10"/>
    <mergeCell ref="K8:K10"/>
    <mergeCell ref="B54:E55"/>
    <mergeCell ref="O54:O55"/>
    <mergeCell ref="G55:G57"/>
    <mergeCell ref="A59:A60"/>
    <mergeCell ref="B59:B60"/>
    <mergeCell ref="C59:F60"/>
    <mergeCell ref="G59:G60"/>
    <mergeCell ref="A61:A62"/>
    <mergeCell ref="B61:B62"/>
    <mergeCell ref="C61:F63"/>
    <mergeCell ref="G61:G67"/>
    <mergeCell ref="A64:A65"/>
    <mergeCell ref="B64:B65"/>
    <mergeCell ref="C64:F65"/>
    <mergeCell ref="C67:D67"/>
    <mergeCell ref="F72:G72"/>
    <mergeCell ref="F73:G73"/>
    <mergeCell ref="F74:G74"/>
    <mergeCell ref="F75:G75"/>
    <mergeCell ref="F76:G76"/>
  </mergeCells>
  <conditionalFormatting sqref="B54">
    <cfRule type="containsText" dxfId="3" priority="2" operator="containsText" text="Warning">
      <formula>NOT(ISERROR(SEARCH("Warning",B54)))</formula>
    </cfRule>
    <cfRule type="containsText" dxfId="2" priority="3" operator="containsText" text="WARNING">
      <formula>NOT(ISERROR(SEARCH("WARNING",B54)))</formula>
    </cfRule>
  </conditionalFormatting>
  <dataValidations count="4">
    <dataValidation type="list" showInputMessage="1" showErrorMessage="1" sqref="A12:A51" xr:uid="{00000000-0002-0000-0100-000000000000}">
      <formula1>$E$71:$E$76</formula1>
      <formula2>0</formula2>
    </dataValidation>
    <dataValidation type="list" showInputMessage="1" showErrorMessage="1" sqref="O12:O51 B59" xr:uid="{00000000-0002-0000-0100-000001000000}">
      <formula1>$A$71:$A$72</formula1>
      <formula2>0</formula2>
    </dataValidation>
    <dataValidation type="list" showInputMessage="1" showErrorMessage="1" sqref="F12:F51" xr:uid="{00000000-0002-0000-0100-000002000000}">
      <formula1>$A$72:$A$73</formula1>
      <formula2>0</formula2>
    </dataValidation>
    <dataValidation type="list" showInputMessage="1" showErrorMessage="1" prompt="P10 - 20% rate recoverable_x000a_P30 - No VAT receipt / VAT Exempt_x000a_P01 - Zero rated supply_x000a_P32 - Overseas expenditure / Outside the Scope of VAT_x000a_P61 - Business entertaining" sqref="E12:E51" xr:uid="{00000000-0002-0000-0100-000003000000}">
      <formula1>$B$72:$B$78</formula1>
      <formula2>0</formula2>
    </dataValidation>
  </dataValidations>
  <printOptions horizontalCentered="1"/>
  <pageMargins left="0" right="0" top="0.31527777777777799" bottom="0.27569444444444402" header="0.51180555555555496" footer="0.15763888888888899"/>
  <pageSetup paperSize="9" firstPageNumber="0" orientation="landscape" horizontalDpi="300" verticalDpi="300"/>
  <headerFooter>
    <oddFooter>&amp;L&amp;14 &amp;F - &amp;A&amp;C&amp;14 &amp;P&amp;R&amp;14 Printed on &amp;D at &amp;T</oddFoot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AMJ115"/>
  <sheetViews>
    <sheetView showGridLines="0" showZeros="0" zoomScale="70" zoomScaleNormal="70" workbookViewId="0">
      <selection activeCell="M7" sqref="M7"/>
    </sheetView>
  </sheetViews>
  <sheetFormatPr baseColWidth="10" defaultColWidth="9.1640625" defaultRowHeight="13" x14ac:dyDescent="0.15"/>
  <cols>
    <col min="1" max="1" width="15.6640625" style="51" customWidth="1"/>
    <col min="2" max="2" width="59.6640625" style="1" customWidth="1"/>
    <col min="3" max="3" width="15" style="42" customWidth="1"/>
    <col min="4" max="4" width="15.5" style="42" customWidth="1"/>
    <col min="5" max="5" width="13" style="1" customWidth="1"/>
    <col min="6" max="6" width="43.33203125" style="1" customWidth="1"/>
    <col min="7" max="7" width="14.83203125" style="1" customWidth="1"/>
    <col min="8" max="8" width="14.5" style="1" customWidth="1"/>
    <col min="9" max="9" width="13.33203125" style="1" customWidth="1"/>
    <col min="10" max="10" width="16.83203125" style="1" customWidth="1"/>
    <col min="11" max="11" width="4.83203125" style="1" customWidth="1"/>
    <col min="12" max="12" width="17.6640625" style="1" customWidth="1"/>
    <col min="13" max="13" width="20.5" style="1" customWidth="1"/>
    <col min="14" max="15" width="14.5" style="1" customWidth="1"/>
    <col min="16" max="16" width="9.1640625" style="1"/>
    <col min="17" max="17" width="10.5" style="1" customWidth="1"/>
    <col min="18" max="18" width="12" style="1" customWidth="1"/>
    <col min="19" max="1024" width="9.1640625" style="1"/>
  </cols>
  <sheetData>
    <row r="1" spans="1:19" ht="33.75" customHeight="1" x14ac:dyDescent="0.2">
      <c r="A1" s="119" t="s">
        <v>93</v>
      </c>
      <c r="B1" s="120"/>
      <c r="C1" s="120"/>
      <c r="D1" s="120"/>
      <c r="E1" s="120"/>
      <c r="F1" s="120"/>
      <c r="G1" s="120"/>
      <c r="H1" s="120"/>
      <c r="I1" s="120"/>
      <c r="J1" s="120"/>
    </row>
    <row r="2" spans="1:19" ht="30" customHeight="1" x14ac:dyDescent="0.2">
      <c r="A2" s="121" t="s">
        <v>94</v>
      </c>
      <c r="B2" s="122" t="str">
        <f>'Expense Claim Form '!C4</f>
        <v>Brian Fleming</v>
      </c>
      <c r="C2" s="120"/>
      <c r="D2" s="120"/>
      <c r="E2" s="120"/>
      <c r="F2" s="120"/>
      <c r="G2" s="120"/>
      <c r="H2" s="120"/>
      <c r="I2" s="120"/>
      <c r="J2" s="120"/>
      <c r="K2" s="123"/>
    </row>
    <row r="3" spans="1:19" ht="21.75" customHeight="1" x14ac:dyDescent="0.2">
      <c r="A3" s="124"/>
      <c r="B3" s="125"/>
      <c r="C3" s="126"/>
      <c r="D3" s="126"/>
      <c r="E3" s="125"/>
      <c r="F3" s="125"/>
      <c r="G3" s="125"/>
      <c r="H3" s="125"/>
      <c r="I3" s="125"/>
      <c r="J3" s="127"/>
      <c r="K3" s="128"/>
      <c r="N3" s="70"/>
      <c r="O3" s="70"/>
      <c r="P3" s="70"/>
      <c r="Q3" s="70"/>
      <c r="R3" s="70"/>
      <c r="S3" s="70"/>
    </row>
    <row r="4" spans="1:19" ht="70.25" customHeight="1" x14ac:dyDescent="0.2">
      <c r="A4" s="220" t="s">
        <v>95</v>
      </c>
      <c r="B4" s="129" t="s">
        <v>96</v>
      </c>
      <c r="C4" s="218" t="s">
        <v>97</v>
      </c>
      <c r="D4" s="218" t="s">
        <v>98</v>
      </c>
      <c r="E4" s="218" t="s">
        <v>99</v>
      </c>
      <c r="F4" s="218" t="s">
        <v>100</v>
      </c>
      <c r="G4" s="217" t="s">
        <v>101</v>
      </c>
      <c r="H4" s="218" t="s">
        <v>102</v>
      </c>
      <c r="I4" s="219" t="s">
        <v>103</v>
      </c>
      <c r="J4" s="219" t="s">
        <v>104</v>
      </c>
      <c r="K4" s="128"/>
      <c r="L4" s="130" t="s">
        <v>4</v>
      </c>
      <c r="M4" s="131" t="s">
        <v>204</v>
      </c>
      <c r="N4" s="70"/>
      <c r="O4" s="70"/>
      <c r="P4" s="70"/>
      <c r="Q4" s="70"/>
      <c r="R4" s="70"/>
      <c r="S4" s="70"/>
    </row>
    <row r="5" spans="1:19" ht="70.25" customHeight="1" x14ac:dyDescent="0.2">
      <c r="A5" s="220"/>
      <c r="B5" s="132" t="s">
        <v>105</v>
      </c>
      <c r="C5" s="218"/>
      <c r="D5" s="218"/>
      <c r="E5" s="218"/>
      <c r="F5" s="218"/>
      <c r="G5" s="217"/>
      <c r="H5" s="218"/>
      <c r="I5" s="219"/>
      <c r="J5" s="219"/>
      <c r="K5" s="133"/>
      <c r="L5" s="134" t="s">
        <v>7</v>
      </c>
      <c r="M5" s="131">
        <v>1600</v>
      </c>
      <c r="N5" s="70"/>
      <c r="O5" s="70"/>
      <c r="P5" s="70"/>
      <c r="Q5" s="70"/>
      <c r="R5" s="70"/>
      <c r="S5" s="70"/>
    </row>
    <row r="6" spans="1:19" s="5" customFormat="1" ht="16" customHeight="1" x14ac:dyDescent="0.2">
      <c r="A6" s="135"/>
      <c r="B6" s="136"/>
      <c r="C6" s="137"/>
      <c r="D6" s="137"/>
      <c r="E6" s="138"/>
      <c r="F6" s="136"/>
      <c r="G6" s="139"/>
      <c r="H6" s="140"/>
      <c r="I6" s="141">
        <f t="shared" ref="I6:I35" si="0">0.05*G6</f>
        <v>0</v>
      </c>
      <c r="J6" s="142">
        <f t="shared" ref="J6:J35" si="1">I6*H6</f>
        <v>0</v>
      </c>
      <c r="K6" s="143">
        <f t="shared" ref="K6:K35" si="2">IF(H6&lt;&gt;0,IF(F6&lt;&gt;0,0,"Error - passenger names need to be input"),0)</f>
        <v>0</v>
      </c>
      <c r="L6" s="144" t="s">
        <v>106</v>
      </c>
      <c r="M6" s="131" t="s">
        <v>205</v>
      </c>
      <c r="N6" s="70"/>
      <c r="O6" s="70"/>
      <c r="P6" s="70"/>
      <c r="Q6" s="70"/>
      <c r="R6" s="70"/>
      <c r="S6" s="70"/>
    </row>
    <row r="7" spans="1:19" ht="16" customHeight="1" x14ac:dyDescent="0.2">
      <c r="A7" s="135"/>
      <c r="B7" s="136"/>
      <c r="C7" s="146"/>
      <c r="D7" s="146"/>
      <c r="E7" s="140"/>
      <c r="F7" s="147"/>
      <c r="G7" s="139"/>
      <c r="H7" s="140"/>
      <c r="I7" s="141">
        <f t="shared" si="0"/>
        <v>0</v>
      </c>
      <c r="J7" s="142">
        <f t="shared" si="1"/>
        <v>0</v>
      </c>
      <c r="K7" s="143">
        <f t="shared" si="2"/>
        <v>0</v>
      </c>
      <c r="L7" s="144" t="s">
        <v>107</v>
      </c>
      <c r="M7" s="131" t="s">
        <v>206</v>
      </c>
      <c r="N7" s="70"/>
      <c r="O7" s="70"/>
      <c r="P7" s="70"/>
      <c r="Q7" s="70"/>
      <c r="R7" s="70"/>
      <c r="S7" s="70"/>
    </row>
    <row r="8" spans="1:19" s="5" customFormat="1" ht="16" customHeight="1" x14ac:dyDescent="0.2">
      <c r="A8" s="135"/>
      <c r="B8" s="136"/>
      <c r="C8" s="146"/>
      <c r="D8" s="146"/>
      <c r="E8" s="140"/>
      <c r="F8" s="147"/>
      <c r="G8" s="139"/>
      <c r="H8" s="140"/>
      <c r="I8" s="141">
        <f t="shared" si="0"/>
        <v>0</v>
      </c>
      <c r="J8" s="142">
        <f t="shared" si="1"/>
        <v>0</v>
      </c>
      <c r="K8" s="143">
        <f t="shared" si="2"/>
        <v>0</v>
      </c>
      <c r="L8" s="70"/>
      <c r="M8" s="70"/>
      <c r="N8" s="70"/>
      <c r="O8" s="70"/>
      <c r="P8" s="70"/>
      <c r="Q8" s="70"/>
      <c r="R8" s="70"/>
      <c r="S8" s="70"/>
    </row>
    <row r="9" spans="1:19" ht="16" customHeight="1" x14ac:dyDescent="0.2">
      <c r="A9" s="135"/>
      <c r="B9" s="136"/>
      <c r="C9" s="146"/>
      <c r="D9" s="146"/>
      <c r="E9" s="140"/>
      <c r="F9" s="147"/>
      <c r="G9" s="139"/>
      <c r="H9" s="140"/>
      <c r="I9" s="141">
        <f t="shared" si="0"/>
        <v>0</v>
      </c>
      <c r="J9" s="142">
        <f t="shared" si="1"/>
        <v>0</v>
      </c>
      <c r="K9" s="143">
        <f t="shared" si="2"/>
        <v>0</v>
      </c>
      <c r="L9" s="70"/>
      <c r="M9" s="70"/>
      <c r="N9" s="70"/>
      <c r="O9" s="70"/>
      <c r="P9" s="70"/>
      <c r="Q9" s="70"/>
      <c r="R9" s="70"/>
      <c r="S9" s="70"/>
    </row>
    <row r="10" spans="1:19" ht="16" customHeight="1" x14ac:dyDescent="0.2">
      <c r="A10" s="135"/>
      <c r="B10" s="136"/>
      <c r="C10" s="146"/>
      <c r="D10" s="146"/>
      <c r="E10" s="140"/>
      <c r="F10" s="147"/>
      <c r="G10" s="139"/>
      <c r="H10" s="140"/>
      <c r="I10" s="141">
        <f t="shared" si="0"/>
        <v>0</v>
      </c>
      <c r="J10" s="142">
        <f t="shared" si="1"/>
        <v>0</v>
      </c>
      <c r="K10" s="143">
        <f t="shared" si="2"/>
        <v>0</v>
      </c>
      <c r="L10" s="70"/>
      <c r="M10" s="70"/>
      <c r="N10" s="70"/>
      <c r="O10" s="70"/>
      <c r="P10" s="70"/>
      <c r="Q10" s="70"/>
      <c r="R10" s="70"/>
      <c r="S10" s="70"/>
    </row>
    <row r="11" spans="1:19" ht="16" customHeight="1" x14ac:dyDescent="0.2">
      <c r="A11" s="135"/>
      <c r="B11" s="136"/>
      <c r="C11" s="146"/>
      <c r="D11" s="146"/>
      <c r="E11" s="140"/>
      <c r="F11" s="147"/>
      <c r="G11" s="139"/>
      <c r="H11" s="140"/>
      <c r="I11" s="141">
        <f t="shared" si="0"/>
        <v>0</v>
      </c>
      <c r="J11" s="142">
        <f t="shared" si="1"/>
        <v>0</v>
      </c>
      <c r="K11" s="143">
        <f t="shared" si="2"/>
        <v>0</v>
      </c>
      <c r="L11" s="70"/>
      <c r="M11" s="70"/>
      <c r="N11" s="70"/>
      <c r="O11" s="70"/>
      <c r="P11" s="70"/>
      <c r="Q11" s="70"/>
      <c r="R11" s="70"/>
      <c r="S11" s="70"/>
    </row>
    <row r="12" spans="1:19" ht="16" customHeight="1" x14ac:dyDescent="0.2">
      <c r="A12" s="135"/>
      <c r="B12" s="136"/>
      <c r="C12" s="146"/>
      <c r="D12" s="146"/>
      <c r="E12" s="140"/>
      <c r="F12" s="147"/>
      <c r="G12" s="139"/>
      <c r="H12" s="140"/>
      <c r="I12" s="141">
        <f t="shared" si="0"/>
        <v>0</v>
      </c>
      <c r="J12" s="142">
        <f t="shared" si="1"/>
        <v>0</v>
      </c>
      <c r="K12" s="143">
        <f t="shared" si="2"/>
        <v>0</v>
      </c>
      <c r="L12" s="70"/>
      <c r="M12" s="70"/>
      <c r="N12" s="70" t="s">
        <v>207</v>
      </c>
      <c r="O12" s="70"/>
      <c r="P12" s="70"/>
      <c r="Q12" s="70"/>
      <c r="R12" s="70"/>
      <c r="S12" s="70"/>
    </row>
    <row r="13" spans="1:19" ht="16" customHeight="1" x14ac:dyDescent="0.2">
      <c r="A13" s="135"/>
      <c r="B13" s="136"/>
      <c r="C13" s="146"/>
      <c r="D13" s="146"/>
      <c r="E13" s="140"/>
      <c r="F13" s="147"/>
      <c r="G13" s="139"/>
      <c r="H13" s="140"/>
      <c r="I13" s="141">
        <f t="shared" si="0"/>
        <v>0</v>
      </c>
      <c r="J13" s="142">
        <f t="shared" si="1"/>
        <v>0</v>
      </c>
      <c r="K13" s="143">
        <f t="shared" si="2"/>
        <v>0</v>
      </c>
      <c r="L13" s="70"/>
      <c r="M13" s="70"/>
      <c r="N13" s="70"/>
      <c r="O13" s="70"/>
      <c r="P13" s="70"/>
      <c r="Q13" s="70"/>
      <c r="R13" s="70"/>
      <c r="S13" s="70"/>
    </row>
    <row r="14" spans="1:19" ht="16" customHeight="1" x14ac:dyDescent="0.2">
      <c r="A14" s="135"/>
      <c r="B14" s="136"/>
      <c r="C14" s="146"/>
      <c r="D14" s="146"/>
      <c r="E14" s="140"/>
      <c r="F14" s="147"/>
      <c r="G14" s="139"/>
      <c r="H14" s="140"/>
      <c r="I14" s="141">
        <f t="shared" si="0"/>
        <v>0</v>
      </c>
      <c r="J14" s="142">
        <f t="shared" si="1"/>
        <v>0</v>
      </c>
      <c r="K14" s="143">
        <f t="shared" si="2"/>
        <v>0</v>
      </c>
      <c r="L14" s="70"/>
      <c r="M14" s="70"/>
      <c r="N14" s="70"/>
      <c r="O14" s="70"/>
      <c r="P14" s="70"/>
      <c r="Q14" s="70"/>
      <c r="R14" s="70"/>
      <c r="S14" s="70"/>
    </row>
    <row r="15" spans="1:19" ht="16" customHeight="1" x14ac:dyDescent="0.2">
      <c r="A15" s="135"/>
      <c r="B15" s="136"/>
      <c r="C15" s="146"/>
      <c r="D15" s="146"/>
      <c r="E15" s="140"/>
      <c r="F15" s="147"/>
      <c r="G15" s="139"/>
      <c r="H15" s="140"/>
      <c r="I15" s="141">
        <f t="shared" si="0"/>
        <v>0</v>
      </c>
      <c r="J15" s="142">
        <f t="shared" si="1"/>
        <v>0</v>
      </c>
      <c r="K15" s="143">
        <f t="shared" si="2"/>
        <v>0</v>
      </c>
      <c r="L15" s="70"/>
      <c r="M15" s="70"/>
      <c r="N15" s="70"/>
      <c r="O15" s="70"/>
      <c r="P15" s="70"/>
      <c r="Q15" s="70"/>
      <c r="R15" s="70"/>
      <c r="S15" s="70"/>
    </row>
    <row r="16" spans="1:19" ht="16" customHeight="1" x14ac:dyDescent="0.2">
      <c r="A16" s="135"/>
      <c r="B16" s="136"/>
      <c r="C16" s="146"/>
      <c r="D16" s="146"/>
      <c r="E16" s="140"/>
      <c r="F16" s="147"/>
      <c r="G16" s="139"/>
      <c r="H16" s="140"/>
      <c r="I16" s="141">
        <f t="shared" si="0"/>
        <v>0</v>
      </c>
      <c r="J16" s="142">
        <f t="shared" si="1"/>
        <v>0</v>
      </c>
      <c r="K16" s="143">
        <f t="shared" si="2"/>
        <v>0</v>
      </c>
      <c r="L16" s="70"/>
      <c r="M16" s="70"/>
      <c r="N16" s="70"/>
      <c r="O16" s="70"/>
      <c r="P16" s="70"/>
      <c r="Q16" s="70"/>
      <c r="R16" s="70"/>
      <c r="S16" s="70"/>
    </row>
    <row r="17" spans="1:19" ht="16" customHeight="1" x14ac:dyDescent="0.2">
      <c r="A17" s="135"/>
      <c r="B17" s="136"/>
      <c r="C17" s="146"/>
      <c r="D17" s="146"/>
      <c r="E17" s="140"/>
      <c r="F17" s="147"/>
      <c r="G17" s="139"/>
      <c r="H17" s="140"/>
      <c r="I17" s="141">
        <f t="shared" si="0"/>
        <v>0</v>
      </c>
      <c r="J17" s="142">
        <f t="shared" si="1"/>
        <v>0</v>
      </c>
      <c r="K17" s="143">
        <f t="shared" si="2"/>
        <v>0</v>
      </c>
      <c r="L17" s="70"/>
      <c r="M17" s="70"/>
      <c r="N17" s="70"/>
      <c r="O17" s="70"/>
      <c r="P17" s="70"/>
      <c r="Q17" s="70"/>
      <c r="R17" s="70"/>
      <c r="S17" s="70"/>
    </row>
    <row r="18" spans="1:19" ht="16" customHeight="1" x14ac:dyDescent="0.2">
      <c r="A18" s="135"/>
      <c r="B18" s="136"/>
      <c r="C18" s="146"/>
      <c r="D18" s="146"/>
      <c r="E18" s="140"/>
      <c r="F18" s="147"/>
      <c r="G18" s="139"/>
      <c r="H18" s="140"/>
      <c r="I18" s="141">
        <f t="shared" si="0"/>
        <v>0</v>
      </c>
      <c r="J18" s="142">
        <f t="shared" si="1"/>
        <v>0</v>
      </c>
      <c r="K18" s="143">
        <f t="shared" si="2"/>
        <v>0</v>
      </c>
      <c r="L18" s="70"/>
      <c r="M18" s="70"/>
      <c r="N18" s="70"/>
      <c r="O18" s="70"/>
      <c r="P18" s="70"/>
      <c r="Q18" s="70"/>
      <c r="R18" s="70"/>
      <c r="S18" s="70"/>
    </row>
    <row r="19" spans="1:19" ht="16" customHeight="1" x14ac:dyDescent="0.2">
      <c r="A19" s="135"/>
      <c r="B19" s="136"/>
      <c r="C19" s="146"/>
      <c r="D19" s="146"/>
      <c r="E19" s="140"/>
      <c r="F19" s="147"/>
      <c r="G19" s="139"/>
      <c r="H19" s="140"/>
      <c r="I19" s="141">
        <f t="shared" si="0"/>
        <v>0</v>
      </c>
      <c r="J19" s="142">
        <f t="shared" si="1"/>
        <v>0</v>
      </c>
      <c r="K19" s="143">
        <f t="shared" si="2"/>
        <v>0</v>
      </c>
      <c r="L19" s="70"/>
      <c r="M19" s="70"/>
      <c r="N19" s="70"/>
      <c r="O19" s="70"/>
      <c r="P19" s="70"/>
      <c r="Q19" s="70"/>
      <c r="R19" s="70"/>
      <c r="S19" s="70"/>
    </row>
    <row r="20" spans="1:19" ht="16" customHeight="1" x14ac:dyDescent="0.2">
      <c r="A20" s="135"/>
      <c r="B20" s="136"/>
      <c r="C20" s="146"/>
      <c r="D20" s="146"/>
      <c r="E20" s="140"/>
      <c r="F20" s="147"/>
      <c r="G20" s="139"/>
      <c r="H20" s="140"/>
      <c r="I20" s="141">
        <f t="shared" si="0"/>
        <v>0</v>
      </c>
      <c r="J20" s="142">
        <f t="shared" si="1"/>
        <v>0</v>
      </c>
      <c r="K20" s="143">
        <f t="shared" si="2"/>
        <v>0</v>
      </c>
      <c r="L20" s="70"/>
      <c r="M20" s="70"/>
      <c r="N20" s="70"/>
      <c r="O20" s="70"/>
      <c r="P20" s="70"/>
      <c r="Q20" s="70"/>
      <c r="R20" s="70"/>
      <c r="S20" s="70"/>
    </row>
    <row r="21" spans="1:19" ht="16" customHeight="1" x14ac:dyDescent="0.2">
      <c r="A21" s="135"/>
      <c r="B21" s="136"/>
      <c r="C21" s="146"/>
      <c r="D21" s="146"/>
      <c r="E21" s="140"/>
      <c r="F21" s="147"/>
      <c r="G21" s="139"/>
      <c r="H21" s="140"/>
      <c r="I21" s="141">
        <f t="shared" si="0"/>
        <v>0</v>
      </c>
      <c r="J21" s="142">
        <f t="shared" si="1"/>
        <v>0</v>
      </c>
      <c r="K21" s="143">
        <f t="shared" si="2"/>
        <v>0</v>
      </c>
      <c r="L21" s="70"/>
      <c r="M21" s="70"/>
      <c r="N21" s="70"/>
      <c r="O21" s="70"/>
      <c r="P21" s="70"/>
      <c r="Q21" s="70"/>
      <c r="R21" s="70"/>
      <c r="S21" s="70"/>
    </row>
    <row r="22" spans="1:19" ht="16" customHeight="1" x14ac:dyDescent="0.2">
      <c r="A22" s="135"/>
      <c r="B22" s="136"/>
      <c r="C22" s="146"/>
      <c r="D22" s="146"/>
      <c r="E22" s="140"/>
      <c r="F22" s="147"/>
      <c r="G22" s="139"/>
      <c r="H22" s="140"/>
      <c r="I22" s="141">
        <f t="shared" si="0"/>
        <v>0</v>
      </c>
      <c r="J22" s="142">
        <f t="shared" si="1"/>
        <v>0</v>
      </c>
      <c r="K22" s="143">
        <f t="shared" si="2"/>
        <v>0</v>
      </c>
      <c r="L22" s="70"/>
      <c r="M22" s="70"/>
      <c r="N22" s="70"/>
      <c r="O22" s="70"/>
      <c r="P22" s="70"/>
      <c r="Q22" s="70"/>
      <c r="R22" s="70"/>
      <c r="S22" s="70"/>
    </row>
    <row r="23" spans="1:19" ht="16" customHeight="1" x14ac:dyDescent="0.2">
      <c r="A23" s="135"/>
      <c r="B23" s="136"/>
      <c r="C23" s="146"/>
      <c r="D23" s="146"/>
      <c r="E23" s="140"/>
      <c r="F23" s="147"/>
      <c r="G23" s="139"/>
      <c r="H23" s="140"/>
      <c r="I23" s="141">
        <f t="shared" si="0"/>
        <v>0</v>
      </c>
      <c r="J23" s="142">
        <f t="shared" si="1"/>
        <v>0</v>
      </c>
      <c r="K23" s="143">
        <f t="shared" si="2"/>
        <v>0</v>
      </c>
      <c r="L23" s="70"/>
      <c r="M23" s="70"/>
      <c r="N23" s="70"/>
      <c r="O23" s="70"/>
      <c r="P23" s="70"/>
      <c r="Q23" s="70"/>
      <c r="R23" s="70"/>
      <c r="S23" s="70"/>
    </row>
    <row r="24" spans="1:19" ht="16" customHeight="1" x14ac:dyDescent="0.2">
      <c r="A24" s="135"/>
      <c r="B24" s="136"/>
      <c r="C24" s="146"/>
      <c r="D24" s="146"/>
      <c r="E24" s="140"/>
      <c r="F24" s="147"/>
      <c r="G24" s="139"/>
      <c r="H24" s="140"/>
      <c r="I24" s="141">
        <f t="shared" si="0"/>
        <v>0</v>
      </c>
      <c r="J24" s="142">
        <f t="shared" si="1"/>
        <v>0</v>
      </c>
      <c r="K24" s="143">
        <f t="shared" si="2"/>
        <v>0</v>
      </c>
      <c r="L24" s="70"/>
      <c r="M24" s="70"/>
      <c r="N24" s="70"/>
      <c r="O24" s="70"/>
      <c r="P24" s="70"/>
      <c r="Q24" s="70"/>
      <c r="R24" s="70"/>
      <c r="S24" s="70"/>
    </row>
    <row r="25" spans="1:19" ht="16" customHeight="1" x14ac:dyDescent="0.2">
      <c r="A25" s="135"/>
      <c r="B25" s="136"/>
      <c r="C25" s="146"/>
      <c r="D25" s="146"/>
      <c r="E25" s="140"/>
      <c r="F25" s="147"/>
      <c r="G25" s="139"/>
      <c r="H25" s="140"/>
      <c r="I25" s="141">
        <f t="shared" si="0"/>
        <v>0</v>
      </c>
      <c r="J25" s="142">
        <f t="shared" si="1"/>
        <v>0</v>
      </c>
      <c r="K25" s="143">
        <f t="shared" si="2"/>
        <v>0</v>
      </c>
      <c r="L25" s="70"/>
      <c r="M25" s="70"/>
      <c r="N25" s="70"/>
      <c r="O25" s="70"/>
      <c r="P25" s="70"/>
      <c r="Q25" s="70"/>
      <c r="R25" s="70"/>
      <c r="S25" s="70"/>
    </row>
    <row r="26" spans="1:19" ht="16" customHeight="1" x14ac:dyDescent="0.2">
      <c r="A26" s="135"/>
      <c r="B26" s="147"/>
      <c r="C26" s="146"/>
      <c r="D26" s="146"/>
      <c r="E26" s="140"/>
      <c r="F26" s="147"/>
      <c r="G26" s="139"/>
      <c r="H26" s="140"/>
      <c r="I26" s="141">
        <f t="shared" si="0"/>
        <v>0</v>
      </c>
      <c r="J26" s="142">
        <f t="shared" si="1"/>
        <v>0</v>
      </c>
      <c r="K26" s="143">
        <f t="shared" si="2"/>
        <v>0</v>
      </c>
      <c r="L26" s="70"/>
      <c r="M26" s="70"/>
      <c r="N26" s="70"/>
      <c r="O26" s="70"/>
      <c r="P26" s="70"/>
      <c r="Q26" s="70"/>
      <c r="R26" s="70"/>
      <c r="S26" s="70"/>
    </row>
    <row r="27" spans="1:19" ht="16" customHeight="1" x14ac:dyDescent="0.2">
      <c r="A27" s="135"/>
      <c r="B27" s="147"/>
      <c r="C27" s="146"/>
      <c r="D27" s="146"/>
      <c r="E27" s="140"/>
      <c r="F27" s="147"/>
      <c r="G27" s="139"/>
      <c r="H27" s="140"/>
      <c r="I27" s="141">
        <f t="shared" si="0"/>
        <v>0</v>
      </c>
      <c r="J27" s="142">
        <f t="shared" si="1"/>
        <v>0</v>
      </c>
      <c r="K27" s="143">
        <f t="shared" si="2"/>
        <v>0</v>
      </c>
      <c r="L27" s="70"/>
      <c r="M27" s="70"/>
      <c r="N27" s="70"/>
      <c r="O27" s="70"/>
      <c r="P27" s="70"/>
      <c r="Q27" s="70"/>
      <c r="R27" s="70"/>
      <c r="S27" s="70"/>
    </row>
    <row r="28" spans="1:19" ht="16" customHeight="1" x14ac:dyDescent="0.2">
      <c r="A28" s="135"/>
      <c r="B28" s="147"/>
      <c r="C28" s="146"/>
      <c r="D28" s="146"/>
      <c r="E28" s="140"/>
      <c r="F28" s="147"/>
      <c r="G28" s="139"/>
      <c r="H28" s="140"/>
      <c r="I28" s="141">
        <f t="shared" si="0"/>
        <v>0</v>
      </c>
      <c r="J28" s="142">
        <f t="shared" si="1"/>
        <v>0</v>
      </c>
      <c r="K28" s="143">
        <f t="shared" si="2"/>
        <v>0</v>
      </c>
      <c r="L28" s="70"/>
      <c r="M28" s="70"/>
      <c r="N28" s="70"/>
      <c r="O28" s="70"/>
      <c r="P28" s="70"/>
      <c r="Q28" s="70"/>
      <c r="R28" s="70"/>
      <c r="S28" s="70"/>
    </row>
    <row r="29" spans="1:19" ht="16" customHeight="1" x14ac:dyDescent="0.2">
      <c r="A29" s="135"/>
      <c r="B29" s="147"/>
      <c r="C29" s="146"/>
      <c r="D29" s="146"/>
      <c r="E29" s="140"/>
      <c r="F29" s="147"/>
      <c r="G29" s="139"/>
      <c r="H29" s="140"/>
      <c r="I29" s="141">
        <f t="shared" si="0"/>
        <v>0</v>
      </c>
      <c r="J29" s="142">
        <f t="shared" si="1"/>
        <v>0</v>
      </c>
      <c r="K29" s="143">
        <f t="shared" si="2"/>
        <v>0</v>
      </c>
      <c r="L29" s="70"/>
      <c r="M29" s="70"/>
      <c r="N29" s="70"/>
      <c r="O29" s="70"/>
      <c r="P29" s="70"/>
      <c r="Q29" s="70"/>
      <c r="R29" s="70"/>
      <c r="S29" s="70"/>
    </row>
    <row r="30" spans="1:19" ht="16" customHeight="1" x14ac:dyDescent="0.2">
      <c r="A30" s="135"/>
      <c r="B30" s="147"/>
      <c r="C30" s="146"/>
      <c r="D30" s="146"/>
      <c r="E30" s="140"/>
      <c r="F30" s="147"/>
      <c r="G30" s="139"/>
      <c r="H30" s="140"/>
      <c r="I30" s="141">
        <f t="shared" si="0"/>
        <v>0</v>
      </c>
      <c r="J30" s="142">
        <f t="shared" si="1"/>
        <v>0</v>
      </c>
      <c r="K30" s="143">
        <f t="shared" si="2"/>
        <v>0</v>
      </c>
      <c r="L30" s="70"/>
      <c r="M30" s="70"/>
      <c r="N30" s="70"/>
      <c r="O30" s="70"/>
      <c r="P30" s="70"/>
      <c r="Q30" s="70"/>
      <c r="R30" s="70"/>
      <c r="S30" s="70"/>
    </row>
    <row r="31" spans="1:19" ht="16" customHeight="1" x14ac:dyDescent="0.2">
      <c r="A31" s="135"/>
      <c r="B31" s="147"/>
      <c r="C31" s="146"/>
      <c r="D31" s="146"/>
      <c r="E31" s="140"/>
      <c r="F31" s="147"/>
      <c r="G31" s="139"/>
      <c r="H31" s="140"/>
      <c r="I31" s="141">
        <f t="shared" si="0"/>
        <v>0</v>
      </c>
      <c r="J31" s="142">
        <f t="shared" si="1"/>
        <v>0</v>
      </c>
      <c r="K31" s="143">
        <f t="shared" si="2"/>
        <v>0</v>
      </c>
      <c r="L31" s="70"/>
      <c r="M31" s="70"/>
      <c r="N31" s="70"/>
      <c r="O31" s="70"/>
      <c r="P31" s="70"/>
      <c r="Q31" s="70"/>
      <c r="R31" s="70"/>
      <c r="S31" s="70"/>
    </row>
    <row r="32" spans="1:19" ht="16" customHeight="1" x14ac:dyDescent="0.2">
      <c r="A32" s="135"/>
      <c r="B32" s="147"/>
      <c r="C32" s="146"/>
      <c r="D32" s="146"/>
      <c r="E32" s="140"/>
      <c r="F32" s="147"/>
      <c r="G32" s="139"/>
      <c r="H32" s="140"/>
      <c r="I32" s="141">
        <f t="shared" si="0"/>
        <v>0</v>
      </c>
      <c r="J32" s="142">
        <f t="shared" si="1"/>
        <v>0</v>
      </c>
      <c r="K32" s="143">
        <f t="shared" si="2"/>
        <v>0</v>
      </c>
      <c r="L32" s="70"/>
      <c r="M32" s="70"/>
      <c r="N32" s="70"/>
      <c r="O32" s="70"/>
      <c r="P32" s="70"/>
      <c r="Q32" s="70"/>
      <c r="R32" s="70"/>
      <c r="S32" s="70"/>
    </row>
    <row r="33" spans="1:19" ht="16" customHeight="1" x14ac:dyDescent="0.2">
      <c r="A33" s="135"/>
      <c r="B33" s="147"/>
      <c r="C33" s="146"/>
      <c r="D33" s="146"/>
      <c r="E33" s="140"/>
      <c r="F33" s="147"/>
      <c r="G33" s="139"/>
      <c r="H33" s="140"/>
      <c r="I33" s="141">
        <f t="shared" si="0"/>
        <v>0</v>
      </c>
      <c r="J33" s="142">
        <f t="shared" si="1"/>
        <v>0</v>
      </c>
      <c r="K33" s="143">
        <f t="shared" si="2"/>
        <v>0</v>
      </c>
      <c r="L33" s="70"/>
      <c r="M33" s="70"/>
      <c r="N33" s="70"/>
      <c r="O33" s="70"/>
      <c r="P33" s="70"/>
      <c r="Q33" s="70"/>
      <c r="R33" s="70"/>
      <c r="S33" s="70"/>
    </row>
    <row r="34" spans="1:19" ht="16" customHeight="1" x14ac:dyDescent="0.2">
      <c r="A34" s="135"/>
      <c r="B34" s="147"/>
      <c r="C34" s="146"/>
      <c r="D34" s="146"/>
      <c r="E34" s="140"/>
      <c r="F34" s="147"/>
      <c r="G34" s="139"/>
      <c r="H34" s="140"/>
      <c r="I34" s="141">
        <f t="shared" si="0"/>
        <v>0</v>
      </c>
      <c r="J34" s="142">
        <f t="shared" si="1"/>
        <v>0</v>
      </c>
      <c r="K34" s="143">
        <f t="shared" si="2"/>
        <v>0</v>
      </c>
      <c r="L34" s="70"/>
      <c r="M34" s="70"/>
      <c r="N34" s="70"/>
      <c r="O34" s="70"/>
      <c r="P34" s="70"/>
      <c r="Q34" s="70"/>
      <c r="R34" s="70"/>
      <c r="S34" s="70"/>
    </row>
    <row r="35" spans="1:19" ht="16" customHeight="1" x14ac:dyDescent="0.2">
      <c r="A35" s="135"/>
      <c r="B35" s="147"/>
      <c r="C35" s="146"/>
      <c r="D35" s="146"/>
      <c r="E35" s="140"/>
      <c r="F35" s="147"/>
      <c r="G35" s="139"/>
      <c r="H35" s="140"/>
      <c r="I35" s="141">
        <f t="shared" si="0"/>
        <v>0</v>
      </c>
      <c r="J35" s="142">
        <f t="shared" si="1"/>
        <v>0</v>
      </c>
      <c r="K35" s="143">
        <f t="shared" si="2"/>
        <v>0</v>
      </c>
      <c r="L35" s="70"/>
      <c r="M35" s="70"/>
      <c r="N35" s="70"/>
      <c r="O35" s="70"/>
      <c r="P35" s="70"/>
      <c r="Q35" s="70"/>
      <c r="R35" s="70"/>
      <c r="S35" s="70"/>
    </row>
    <row r="36" spans="1:19" ht="23.25" customHeight="1" x14ac:dyDescent="0.25">
      <c r="A36" s="148"/>
      <c r="B36" s="149" t="s">
        <v>32</v>
      </c>
      <c r="C36" s="150"/>
      <c r="D36" s="150"/>
      <c r="E36" s="151">
        <f>'Mileage Detail Extra Rows'!E36</f>
        <v>0</v>
      </c>
      <c r="F36" s="152"/>
      <c r="G36" s="152"/>
      <c r="H36" s="151">
        <f>'Mileage Detail Extra Rows'!H36</f>
        <v>0</v>
      </c>
      <c r="I36" s="153"/>
      <c r="J36" s="151">
        <f>'Mileage Detail Extra Rows'!J36</f>
        <v>0</v>
      </c>
      <c r="K36" s="154"/>
      <c r="L36" s="70"/>
      <c r="M36" s="70"/>
      <c r="N36" s="70"/>
      <c r="O36" s="70"/>
      <c r="P36" s="70"/>
      <c r="Q36" s="70"/>
      <c r="R36" s="70"/>
      <c r="S36" s="70"/>
    </row>
    <row r="37" spans="1:19" ht="23.5" customHeight="1" x14ac:dyDescent="0.25">
      <c r="A37" s="155"/>
      <c r="B37" s="149" t="s">
        <v>108</v>
      </c>
      <c r="C37" s="150"/>
      <c r="D37" s="150"/>
      <c r="E37" s="151">
        <f>SUM(E6:E36)</f>
        <v>0</v>
      </c>
      <c r="F37" s="152"/>
      <c r="G37" s="152"/>
      <c r="H37" s="151">
        <f>SUM(H6:H36)</f>
        <v>0</v>
      </c>
      <c r="I37" s="153"/>
      <c r="J37" s="151">
        <f>SUM(J6:J36)</f>
        <v>0</v>
      </c>
      <c r="K37" s="156">
        <f>SUM(K6:K36)</f>
        <v>0</v>
      </c>
      <c r="L37" s="70"/>
      <c r="M37" s="70"/>
      <c r="N37" s="70"/>
      <c r="O37" s="70"/>
      <c r="P37" s="70"/>
      <c r="Q37" s="70"/>
      <c r="R37" s="70"/>
      <c r="S37" s="70"/>
    </row>
    <row r="38" spans="1:19" x14ac:dyDescent="0.15">
      <c r="A38" s="157"/>
      <c r="B38" s="70"/>
      <c r="C38" s="158"/>
      <c r="D38" s="158"/>
      <c r="E38" s="70"/>
      <c r="F38" s="70"/>
      <c r="G38" s="70"/>
      <c r="H38" s="70"/>
      <c r="I38" s="70"/>
      <c r="J38" s="70"/>
      <c r="K38" s="70"/>
      <c r="L38" s="70"/>
      <c r="M38" s="70"/>
      <c r="N38" s="70"/>
      <c r="O38" s="70"/>
      <c r="P38" s="70"/>
      <c r="Q38" s="70"/>
      <c r="R38" s="70"/>
      <c r="S38" s="70"/>
    </row>
    <row r="39" spans="1:19" x14ac:dyDescent="0.15">
      <c r="A39" s="157"/>
      <c r="B39" s="70"/>
      <c r="C39" s="158"/>
      <c r="D39" s="158"/>
      <c r="E39" s="70"/>
      <c r="F39" s="70"/>
      <c r="G39" s="70"/>
      <c r="H39" s="70"/>
      <c r="I39" s="70"/>
      <c r="J39" s="70"/>
      <c r="K39" s="70"/>
      <c r="L39" s="70"/>
      <c r="M39" s="70"/>
      <c r="N39" s="70"/>
      <c r="O39" s="70"/>
      <c r="P39" s="70"/>
      <c r="Q39" s="70"/>
      <c r="R39" s="70"/>
      <c r="S39" s="70"/>
    </row>
    <row r="40" spans="1:19" ht="16.75" customHeight="1" x14ac:dyDescent="0.15">
      <c r="A40" s="157"/>
      <c r="B40" s="70"/>
      <c r="C40" s="158"/>
      <c r="D40" s="158"/>
      <c r="E40" s="70"/>
      <c r="F40" s="70"/>
      <c r="G40" s="70"/>
      <c r="H40" s="70"/>
      <c r="I40" s="70"/>
      <c r="J40" s="70"/>
      <c r="K40" s="70"/>
      <c r="L40" s="70"/>
      <c r="M40" s="70"/>
      <c r="N40" s="70"/>
      <c r="O40" s="70"/>
      <c r="P40" s="70"/>
      <c r="Q40" s="70"/>
      <c r="R40" s="70"/>
      <c r="S40" s="70"/>
    </row>
    <row r="41" spans="1:19" ht="16.75" customHeight="1" x14ac:dyDescent="0.15">
      <c r="A41" s="157"/>
      <c r="B41" s="70"/>
      <c r="C41" s="158"/>
      <c r="D41" s="158"/>
      <c r="E41" s="70"/>
      <c r="F41" s="70"/>
      <c r="G41" s="70"/>
      <c r="H41" s="70"/>
      <c r="I41" s="70"/>
      <c r="J41" s="70"/>
      <c r="K41" s="70"/>
      <c r="L41" s="70"/>
      <c r="M41" s="70"/>
      <c r="N41" s="70"/>
      <c r="O41" s="70"/>
      <c r="P41" s="70"/>
      <c r="Q41" s="70"/>
      <c r="R41" s="70"/>
      <c r="S41" s="70"/>
    </row>
    <row r="42" spans="1:19" ht="16.75" customHeight="1" x14ac:dyDescent="0.15">
      <c r="A42" s="157"/>
      <c r="B42" s="70"/>
      <c r="C42" s="158"/>
      <c r="D42" s="158"/>
      <c r="E42" s="70"/>
      <c r="F42" s="70"/>
      <c r="G42" s="70"/>
      <c r="H42" s="70"/>
      <c r="I42" s="70"/>
      <c r="J42" s="70"/>
      <c r="K42" s="70"/>
      <c r="L42" s="70"/>
      <c r="M42" s="70"/>
      <c r="N42" s="70"/>
      <c r="O42" s="70"/>
      <c r="P42" s="70"/>
      <c r="Q42" s="70"/>
      <c r="R42" s="70"/>
      <c r="S42" s="70"/>
    </row>
    <row r="43" spans="1:19" ht="16.75" customHeight="1" x14ac:dyDescent="0.15">
      <c r="A43" s="157"/>
      <c r="B43" s="70"/>
      <c r="C43" s="158"/>
      <c r="D43" s="158"/>
      <c r="E43" s="70"/>
      <c r="F43" s="70"/>
      <c r="G43" s="70"/>
      <c r="H43" s="70"/>
      <c r="I43" s="70"/>
      <c r="J43" s="70"/>
      <c r="K43" s="70"/>
      <c r="L43" s="70"/>
      <c r="M43" s="70"/>
      <c r="N43" s="70"/>
      <c r="O43" s="70"/>
      <c r="P43" s="70"/>
      <c r="Q43" s="70"/>
      <c r="R43" s="70"/>
      <c r="S43" s="70"/>
    </row>
    <row r="44" spans="1:19" ht="16.75" customHeight="1" x14ac:dyDescent="0.15">
      <c r="A44" s="157"/>
      <c r="B44" s="70"/>
      <c r="C44" s="158"/>
      <c r="D44" s="158"/>
      <c r="E44" s="70"/>
      <c r="F44" s="70"/>
      <c r="G44" s="70"/>
      <c r="H44" s="70"/>
      <c r="I44" s="70"/>
      <c r="J44" s="70"/>
      <c r="K44" s="70"/>
      <c r="L44" s="70"/>
      <c r="M44" s="70"/>
      <c r="N44" s="70"/>
      <c r="O44" s="70"/>
      <c r="P44" s="70"/>
      <c r="Q44" s="70"/>
      <c r="R44" s="70"/>
      <c r="S44" s="70"/>
    </row>
    <row r="45" spans="1:19" ht="16.75" customHeight="1" x14ac:dyDescent="0.15">
      <c r="A45" s="157"/>
      <c r="B45" s="70"/>
      <c r="C45" s="158"/>
      <c r="D45" s="158"/>
      <c r="E45" s="70"/>
      <c r="F45" s="70"/>
      <c r="G45" s="70"/>
      <c r="H45" s="70"/>
      <c r="I45" s="70"/>
      <c r="J45" s="70"/>
      <c r="K45" s="70"/>
      <c r="L45" s="70"/>
      <c r="M45" s="70"/>
      <c r="N45" s="70"/>
      <c r="O45" s="70"/>
      <c r="P45" s="70"/>
      <c r="Q45" s="70"/>
      <c r="R45" s="70"/>
      <c r="S45" s="70"/>
    </row>
    <row r="46" spans="1:19" ht="16.75" customHeight="1" x14ac:dyDescent="0.15">
      <c r="A46" s="157"/>
      <c r="B46" s="70"/>
      <c r="C46" s="158"/>
      <c r="D46" s="158"/>
      <c r="E46" s="70"/>
      <c r="F46" s="70"/>
      <c r="G46" s="70"/>
      <c r="H46" s="70"/>
      <c r="I46" s="70"/>
      <c r="J46" s="70"/>
      <c r="K46" s="70"/>
      <c r="L46" s="70"/>
      <c r="M46" s="70"/>
      <c r="N46" s="70"/>
      <c r="O46" s="70"/>
      <c r="P46" s="70"/>
      <c r="Q46" s="70"/>
      <c r="R46" s="70"/>
      <c r="S46" s="70"/>
    </row>
    <row r="47" spans="1:19" ht="16.75" customHeight="1" x14ac:dyDescent="0.15">
      <c r="A47" s="157"/>
      <c r="B47" s="70"/>
      <c r="C47" s="158"/>
      <c r="D47" s="158"/>
      <c r="E47" s="70"/>
      <c r="F47" s="70"/>
      <c r="G47" s="70"/>
      <c r="H47" s="70"/>
      <c r="I47" s="70"/>
      <c r="J47" s="70"/>
      <c r="K47" s="70"/>
      <c r="L47" s="70"/>
      <c r="M47" s="70"/>
      <c r="N47" s="70"/>
      <c r="O47" s="70"/>
      <c r="P47" s="70"/>
      <c r="Q47" s="70"/>
      <c r="R47" s="70"/>
      <c r="S47" s="70"/>
    </row>
    <row r="48" spans="1:19" ht="16.75" customHeight="1" x14ac:dyDescent="0.15">
      <c r="A48" s="157"/>
      <c r="B48" s="70"/>
      <c r="C48" s="158"/>
      <c r="D48" s="158"/>
      <c r="E48" s="70"/>
      <c r="F48" s="70"/>
      <c r="G48" s="70"/>
      <c r="H48" s="70"/>
      <c r="I48" s="70"/>
      <c r="J48" s="70"/>
      <c r="K48" s="70"/>
      <c r="L48" s="70"/>
      <c r="M48" s="70"/>
      <c r="N48" s="70"/>
      <c r="O48" s="70"/>
      <c r="P48" s="70"/>
      <c r="Q48" s="70"/>
      <c r="R48" s="70"/>
      <c r="S48" s="70"/>
    </row>
    <row r="49" spans="1:19" ht="16.5" customHeight="1" x14ac:dyDescent="0.15">
      <c r="A49" s="157"/>
      <c r="B49" s="70"/>
      <c r="C49" s="158"/>
      <c r="D49" s="158"/>
      <c r="E49" s="70"/>
      <c r="F49" s="70"/>
      <c r="G49" s="70"/>
      <c r="H49" s="70"/>
      <c r="I49" s="70"/>
      <c r="J49" s="70"/>
      <c r="K49" s="70"/>
      <c r="L49" s="70"/>
      <c r="M49" s="70"/>
      <c r="N49" s="70"/>
      <c r="O49" s="70"/>
      <c r="P49" s="70"/>
      <c r="Q49" s="70"/>
      <c r="R49" s="70"/>
      <c r="S49" s="70"/>
    </row>
    <row r="50" spans="1:19" ht="16.75" customHeight="1" x14ac:dyDescent="0.15">
      <c r="A50" s="157"/>
      <c r="B50" s="70"/>
      <c r="C50" s="158"/>
      <c r="D50" s="158"/>
      <c r="E50" s="70"/>
      <c r="F50" s="70"/>
      <c r="G50" s="70"/>
      <c r="H50" s="70"/>
      <c r="I50" s="70"/>
      <c r="J50" s="70"/>
      <c r="K50" s="70"/>
      <c r="L50" s="70"/>
      <c r="M50" s="70"/>
      <c r="N50" s="70"/>
      <c r="O50" s="70"/>
      <c r="P50" s="70"/>
      <c r="Q50" s="70"/>
      <c r="R50" s="70"/>
      <c r="S50" s="70"/>
    </row>
    <row r="51" spans="1:19" ht="16.75" customHeight="1" x14ac:dyDescent="0.15">
      <c r="A51" s="157"/>
      <c r="B51" s="70"/>
      <c r="C51" s="158"/>
      <c r="D51" s="158"/>
      <c r="E51" s="70"/>
      <c r="F51" s="70"/>
      <c r="G51" s="70"/>
      <c r="H51" s="70"/>
      <c r="I51" s="70"/>
      <c r="J51" s="70"/>
      <c r="K51" s="70"/>
      <c r="L51" s="70"/>
      <c r="M51" s="70"/>
      <c r="N51" s="70"/>
      <c r="O51" s="70"/>
      <c r="P51" s="70"/>
      <c r="Q51" s="70"/>
      <c r="R51" s="70"/>
      <c r="S51" s="70"/>
    </row>
    <row r="52" spans="1:19" ht="16.75" customHeight="1" x14ac:dyDescent="0.15">
      <c r="A52" s="157"/>
      <c r="B52" s="70"/>
      <c r="C52" s="158"/>
      <c r="D52" s="158"/>
      <c r="E52" s="70"/>
      <c r="F52" s="70"/>
      <c r="G52" s="70"/>
      <c r="H52" s="70"/>
      <c r="I52" s="70"/>
      <c r="J52" s="70"/>
      <c r="K52" s="70"/>
      <c r="L52" s="70"/>
      <c r="M52" s="70"/>
      <c r="N52" s="70"/>
      <c r="O52" s="70"/>
      <c r="P52" s="70"/>
      <c r="Q52" s="70"/>
      <c r="R52" s="70"/>
      <c r="S52" s="70"/>
    </row>
    <row r="53" spans="1:19" ht="16.75" customHeight="1" x14ac:dyDescent="0.15">
      <c r="A53" s="157"/>
      <c r="B53" s="70"/>
      <c r="C53" s="158"/>
      <c r="D53" s="158"/>
      <c r="E53" s="70"/>
      <c r="F53" s="70"/>
      <c r="G53" s="70"/>
      <c r="H53" s="70"/>
      <c r="I53" s="70"/>
      <c r="J53" s="70"/>
      <c r="K53" s="70"/>
      <c r="L53" s="70"/>
      <c r="M53" s="70"/>
      <c r="N53" s="70"/>
      <c r="O53" s="70"/>
      <c r="P53" s="70"/>
      <c r="Q53" s="70"/>
      <c r="R53" s="70"/>
      <c r="S53" s="70"/>
    </row>
    <row r="54" spans="1:19" ht="16.75" customHeight="1" x14ac:dyDescent="0.15">
      <c r="A54" s="157"/>
      <c r="B54" s="70"/>
      <c r="C54" s="158"/>
      <c r="D54" s="158"/>
      <c r="E54" s="70"/>
      <c r="F54" s="70"/>
      <c r="G54" s="70"/>
      <c r="H54" s="70"/>
      <c r="I54" s="70"/>
      <c r="J54" s="70"/>
      <c r="K54" s="70"/>
      <c r="L54" s="70"/>
      <c r="M54" s="70"/>
      <c r="N54" s="70"/>
      <c r="O54" s="70"/>
      <c r="P54" s="70"/>
      <c r="Q54" s="70"/>
      <c r="R54" s="70"/>
      <c r="S54" s="70"/>
    </row>
    <row r="55" spans="1:19" ht="16.75" customHeight="1" x14ac:dyDescent="0.15">
      <c r="A55" s="157"/>
      <c r="B55" s="70"/>
      <c r="C55" s="158"/>
      <c r="D55" s="158"/>
      <c r="E55" s="70"/>
      <c r="F55" s="70"/>
      <c r="G55" s="70"/>
      <c r="H55" s="70"/>
      <c r="I55" s="70"/>
      <c r="J55" s="70"/>
      <c r="K55" s="70"/>
      <c r="L55" s="70"/>
      <c r="M55" s="70"/>
      <c r="N55" s="70"/>
      <c r="O55" s="70"/>
      <c r="P55" s="70"/>
      <c r="Q55" s="70"/>
      <c r="R55" s="70"/>
      <c r="S55" s="70"/>
    </row>
    <row r="56" spans="1:19" ht="16.75" customHeight="1" x14ac:dyDescent="0.15">
      <c r="A56" s="157"/>
      <c r="B56" s="70"/>
      <c r="C56" s="158"/>
      <c r="D56" s="158"/>
      <c r="E56" s="70"/>
      <c r="F56" s="70"/>
      <c r="G56" s="70"/>
      <c r="H56" s="70"/>
      <c r="I56" s="70"/>
      <c r="J56" s="70"/>
      <c r="K56" s="70"/>
      <c r="L56" s="70"/>
      <c r="M56" s="70"/>
      <c r="N56" s="70"/>
      <c r="O56" s="70"/>
      <c r="P56" s="70"/>
      <c r="Q56" s="70"/>
      <c r="R56" s="70"/>
      <c r="S56" s="70"/>
    </row>
    <row r="57" spans="1:19" ht="16.75" customHeight="1" x14ac:dyDescent="0.15">
      <c r="A57" s="157"/>
      <c r="B57" s="70"/>
      <c r="C57" s="158"/>
      <c r="D57" s="158"/>
      <c r="E57" s="70"/>
      <c r="F57" s="70"/>
      <c r="G57" s="70"/>
      <c r="H57" s="70"/>
      <c r="I57" s="70"/>
      <c r="J57" s="70"/>
      <c r="K57" s="70"/>
      <c r="L57" s="70"/>
      <c r="M57" s="70"/>
      <c r="N57" s="70"/>
      <c r="O57" s="70"/>
      <c r="P57" s="70"/>
      <c r="Q57" s="70"/>
      <c r="R57" s="70"/>
      <c r="S57" s="70"/>
    </row>
    <row r="58" spans="1:19" ht="16.75" customHeight="1" x14ac:dyDescent="0.15">
      <c r="A58" s="157"/>
      <c r="B58" s="70"/>
      <c r="C58" s="158"/>
      <c r="D58" s="158"/>
      <c r="E58" s="70"/>
      <c r="F58" s="70"/>
      <c r="G58" s="70"/>
      <c r="H58" s="70"/>
      <c r="I58" s="70"/>
      <c r="J58" s="70"/>
      <c r="K58" s="70"/>
      <c r="L58" s="70"/>
      <c r="M58" s="70"/>
      <c r="N58" s="70"/>
      <c r="O58" s="70"/>
      <c r="P58" s="70"/>
      <c r="Q58" s="70"/>
      <c r="R58" s="70"/>
      <c r="S58" s="70"/>
    </row>
    <row r="59" spans="1:19" ht="16.75" customHeight="1" x14ac:dyDescent="0.15">
      <c r="A59" s="157"/>
      <c r="B59" s="70"/>
      <c r="C59" s="158"/>
      <c r="D59" s="158"/>
      <c r="E59" s="70"/>
      <c r="F59" s="70"/>
      <c r="G59" s="70"/>
      <c r="H59" s="70"/>
      <c r="I59" s="70"/>
      <c r="J59" s="70"/>
      <c r="K59" s="70"/>
      <c r="L59" s="70"/>
      <c r="M59" s="70"/>
      <c r="N59" s="70"/>
      <c r="O59" s="70"/>
      <c r="P59" s="70"/>
      <c r="Q59" s="70"/>
      <c r="R59" s="70"/>
      <c r="S59" s="70"/>
    </row>
    <row r="60" spans="1:19" ht="16.75" customHeight="1" x14ac:dyDescent="0.15">
      <c r="A60" s="157"/>
      <c r="B60" s="70"/>
      <c r="C60" s="158"/>
      <c r="D60" s="158"/>
      <c r="E60" s="70"/>
      <c r="F60" s="70"/>
      <c r="G60" s="70"/>
      <c r="H60" s="70"/>
      <c r="I60" s="70"/>
      <c r="J60" s="70"/>
      <c r="K60" s="70"/>
      <c r="L60" s="70"/>
      <c r="M60" s="70"/>
      <c r="N60" s="70"/>
      <c r="O60" s="70"/>
      <c r="P60" s="70"/>
      <c r="Q60" s="70"/>
      <c r="R60" s="70"/>
      <c r="S60" s="70"/>
    </row>
    <row r="61" spans="1:19" ht="16.75" customHeight="1" x14ac:dyDescent="0.15">
      <c r="A61" s="157"/>
      <c r="B61" s="70"/>
      <c r="C61" s="158"/>
      <c r="D61" s="158"/>
      <c r="E61" s="70"/>
      <c r="F61" s="70"/>
      <c r="G61" s="70"/>
      <c r="H61" s="70"/>
      <c r="I61" s="70"/>
      <c r="J61" s="70"/>
      <c r="K61" s="70"/>
      <c r="L61" s="70"/>
      <c r="M61" s="70"/>
      <c r="N61" s="70"/>
      <c r="O61" s="70"/>
      <c r="P61" s="70"/>
      <c r="Q61" s="70"/>
      <c r="R61" s="70"/>
      <c r="S61" s="70"/>
    </row>
    <row r="62" spans="1:19" ht="16.75" customHeight="1" x14ac:dyDescent="0.15">
      <c r="A62" s="157"/>
      <c r="B62" s="70"/>
      <c r="C62" s="158"/>
      <c r="D62" s="158"/>
      <c r="E62" s="70"/>
      <c r="F62" s="70"/>
      <c r="G62" s="70"/>
      <c r="H62" s="70"/>
      <c r="I62" s="70"/>
      <c r="J62" s="70"/>
      <c r="K62" s="70"/>
      <c r="L62" s="70"/>
      <c r="M62" s="70"/>
      <c r="N62" s="70"/>
      <c r="O62" s="70"/>
      <c r="P62" s="70"/>
      <c r="Q62" s="70"/>
      <c r="R62" s="70"/>
      <c r="S62" s="70"/>
    </row>
    <row r="63" spans="1:19" ht="16.75" customHeight="1" x14ac:dyDescent="0.15">
      <c r="A63" s="157"/>
      <c r="B63" s="70"/>
      <c r="C63" s="158"/>
      <c r="D63" s="158"/>
      <c r="E63" s="70"/>
      <c r="F63" s="70"/>
      <c r="G63" s="70"/>
      <c r="H63" s="70"/>
      <c r="I63" s="70"/>
      <c r="J63" s="70"/>
      <c r="K63" s="70"/>
      <c r="L63" s="70"/>
      <c r="M63" s="70"/>
      <c r="N63" s="70"/>
      <c r="O63" s="70"/>
      <c r="P63" s="70"/>
      <c r="Q63" s="70"/>
      <c r="R63" s="70"/>
      <c r="S63" s="70"/>
    </row>
    <row r="64" spans="1:19" ht="16.75" customHeight="1" x14ac:dyDescent="0.15">
      <c r="A64" s="157"/>
      <c r="B64" s="70"/>
      <c r="C64" s="158"/>
      <c r="D64" s="158"/>
      <c r="E64" s="70"/>
      <c r="F64" s="70"/>
      <c r="G64" s="70"/>
      <c r="H64" s="70"/>
      <c r="I64" s="70"/>
      <c r="J64" s="70"/>
      <c r="K64" s="70"/>
      <c r="L64" s="70"/>
      <c r="M64" s="70"/>
      <c r="N64" s="70"/>
      <c r="O64" s="70"/>
      <c r="P64" s="70"/>
      <c r="Q64" s="70"/>
      <c r="R64" s="70"/>
      <c r="S64" s="70"/>
    </row>
    <row r="65" spans="1:19" ht="16.75" customHeight="1" x14ac:dyDescent="0.15">
      <c r="A65" s="157"/>
      <c r="B65" s="70"/>
      <c r="C65" s="158"/>
      <c r="D65" s="158"/>
      <c r="E65" s="70"/>
      <c r="F65" s="70"/>
      <c r="G65" s="70"/>
      <c r="H65" s="70"/>
      <c r="I65" s="70"/>
      <c r="J65" s="70"/>
      <c r="K65" s="70"/>
      <c r="L65" s="70"/>
      <c r="M65" s="70"/>
      <c r="N65" s="70"/>
      <c r="O65" s="70"/>
      <c r="P65" s="70"/>
      <c r="Q65" s="70"/>
      <c r="R65" s="70"/>
      <c r="S65" s="70"/>
    </row>
    <row r="66" spans="1:19" ht="16.75" customHeight="1" x14ac:dyDescent="0.15">
      <c r="A66" s="157"/>
      <c r="B66" s="70"/>
      <c r="C66" s="158"/>
      <c r="D66" s="158"/>
      <c r="E66" s="70"/>
      <c r="F66" s="70"/>
      <c r="G66" s="70"/>
      <c r="H66" s="70"/>
      <c r="I66" s="70"/>
      <c r="J66" s="70"/>
      <c r="K66" s="70"/>
      <c r="L66" s="70"/>
      <c r="M66" s="70"/>
      <c r="N66" s="70"/>
      <c r="O66" s="70"/>
      <c r="P66" s="70"/>
      <c r="Q66" s="70"/>
      <c r="R66" s="70"/>
      <c r="S66" s="70"/>
    </row>
    <row r="67" spans="1:19" ht="16.75" customHeight="1" x14ac:dyDescent="0.15">
      <c r="A67" s="157"/>
      <c r="B67" s="70"/>
      <c r="C67" s="158"/>
      <c r="D67" s="158"/>
      <c r="E67" s="70"/>
      <c r="F67" s="70"/>
      <c r="G67" s="70"/>
      <c r="H67" s="70"/>
      <c r="I67" s="70"/>
      <c r="J67" s="70"/>
      <c r="K67" s="70"/>
      <c r="L67" s="70"/>
      <c r="M67" s="70"/>
      <c r="N67" s="70"/>
      <c r="O67" s="70"/>
      <c r="P67" s="70"/>
      <c r="Q67" s="70"/>
      <c r="R67" s="70"/>
      <c r="S67" s="70"/>
    </row>
    <row r="68" spans="1:19" ht="16.75" customHeight="1" x14ac:dyDescent="0.15">
      <c r="A68" s="157"/>
      <c r="B68" s="70"/>
      <c r="C68" s="158"/>
      <c r="D68" s="158"/>
      <c r="E68" s="70"/>
      <c r="F68" s="70"/>
      <c r="G68" s="70"/>
      <c r="H68" s="70"/>
      <c r="I68" s="70"/>
      <c r="J68" s="70"/>
      <c r="K68" s="70"/>
      <c r="L68" s="70"/>
      <c r="M68" s="70"/>
      <c r="N68" s="70"/>
      <c r="O68" s="70"/>
      <c r="P68" s="70"/>
      <c r="Q68" s="70"/>
      <c r="R68" s="70"/>
      <c r="S68" s="70"/>
    </row>
    <row r="69" spans="1:19" ht="16.75" customHeight="1" x14ac:dyDescent="0.15">
      <c r="A69" s="157"/>
      <c r="B69" s="70"/>
      <c r="C69" s="158"/>
      <c r="D69" s="158"/>
      <c r="E69" s="70"/>
      <c r="F69" s="70"/>
      <c r="G69" s="70"/>
      <c r="H69" s="70"/>
      <c r="I69" s="70"/>
      <c r="J69" s="70"/>
      <c r="K69" s="70"/>
      <c r="L69" s="70"/>
      <c r="M69" s="70"/>
      <c r="N69" s="70"/>
      <c r="O69" s="70"/>
      <c r="P69" s="70"/>
      <c r="Q69" s="70"/>
      <c r="R69" s="70"/>
      <c r="S69" s="70"/>
    </row>
    <row r="70" spans="1:19" ht="16.75" customHeight="1" x14ac:dyDescent="0.15">
      <c r="A70" s="157"/>
      <c r="B70" s="70"/>
      <c r="C70" s="158"/>
      <c r="D70" s="158"/>
      <c r="E70" s="70"/>
      <c r="F70" s="70"/>
      <c r="G70" s="70"/>
      <c r="H70" s="70"/>
      <c r="I70" s="70"/>
      <c r="J70" s="70"/>
      <c r="K70" s="70"/>
      <c r="L70" s="70"/>
      <c r="M70" s="70"/>
      <c r="N70" s="70"/>
      <c r="O70" s="70"/>
      <c r="P70" s="70"/>
      <c r="Q70" s="70"/>
      <c r="R70" s="70"/>
      <c r="S70" s="70"/>
    </row>
    <row r="71" spans="1:19" ht="16.75" customHeight="1" x14ac:dyDescent="0.15">
      <c r="A71" s="157"/>
      <c r="B71" s="70"/>
      <c r="C71" s="158"/>
      <c r="D71" s="158"/>
      <c r="E71" s="70"/>
      <c r="F71" s="70"/>
      <c r="G71" s="70"/>
      <c r="H71" s="70"/>
      <c r="I71" s="70"/>
      <c r="J71" s="70"/>
      <c r="K71" s="70"/>
      <c r="L71" s="70"/>
      <c r="M71" s="70"/>
      <c r="N71" s="70"/>
      <c r="O71" s="70"/>
      <c r="P71" s="70"/>
      <c r="Q71" s="70"/>
      <c r="R71" s="70"/>
      <c r="S71" s="70"/>
    </row>
    <row r="72" spans="1:19" ht="16.75" customHeight="1" x14ac:dyDescent="0.15">
      <c r="A72" s="157"/>
      <c r="B72" s="70"/>
      <c r="C72" s="158"/>
      <c r="D72" s="158"/>
      <c r="E72" s="70"/>
      <c r="F72" s="70"/>
      <c r="G72" s="70"/>
      <c r="H72" s="70"/>
      <c r="I72" s="70"/>
      <c r="J72" s="70"/>
      <c r="K72" s="70"/>
      <c r="L72" s="70"/>
      <c r="M72" s="70"/>
      <c r="N72" s="70"/>
      <c r="O72" s="70"/>
      <c r="P72" s="70"/>
      <c r="Q72" s="70"/>
      <c r="R72" s="70"/>
      <c r="S72" s="70"/>
    </row>
    <row r="73" spans="1:19" ht="16.75" customHeight="1" x14ac:dyDescent="0.15">
      <c r="A73" s="157"/>
      <c r="B73" s="70"/>
      <c r="C73" s="158"/>
      <c r="D73" s="158"/>
      <c r="E73" s="70"/>
      <c r="F73" s="70"/>
      <c r="G73" s="70"/>
      <c r="H73" s="70"/>
      <c r="I73" s="70"/>
      <c r="J73" s="70"/>
      <c r="K73" s="70"/>
      <c r="L73" s="70"/>
      <c r="M73" s="70"/>
      <c r="N73" s="70"/>
      <c r="O73" s="70"/>
      <c r="P73" s="70"/>
      <c r="Q73" s="70"/>
      <c r="R73" s="70"/>
      <c r="S73" s="70"/>
    </row>
    <row r="74" spans="1:19" ht="16.75" customHeight="1" x14ac:dyDescent="0.15">
      <c r="A74" s="157"/>
      <c r="B74" s="70"/>
      <c r="C74" s="158"/>
      <c r="D74" s="158"/>
      <c r="E74" s="70"/>
      <c r="F74" s="70"/>
      <c r="G74" s="70"/>
      <c r="H74" s="70"/>
      <c r="I74" s="70"/>
      <c r="J74" s="70"/>
      <c r="K74" s="70"/>
      <c r="L74" s="70"/>
      <c r="M74" s="70"/>
      <c r="N74" s="70"/>
      <c r="O74" s="70"/>
      <c r="P74" s="70"/>
      <c r="Q74" s="70"/>
      <c r="R74" s="70"/>
      <c r="S74" s="70"/>
    </row>
    <row r="75" spans="1:19" ht="16.75" customHeight="1" x14ac:dyDescent="0.15">
      <c r="A75" s="157"/>
      <c r="B75" s="70"/>
      <c r="C75" s="158"/>
      <c r="D75" s="158"/>
      <c r="E75" s="70"/>
      <c r="F75" s="70"/>
      <c r="G75" s="70"/>
      <c r="H75" s="70"/>
      <c r="I75" s="70"/>
      <c r="J75" s="70"/>
      <c r="K75" s="70"/>
      <c r="L75" s="70"/>
      <c r="M75" s="70"/>
      <c r="N75" s="70"/>
      <c r="O75" s="70"/>
      <c r="P75" s="70"/>
      <c r="Q75" s="70"/>
      <c r="R75" s="70"/>
      <c r="S75" s="70"/>
    </row>
    <row r="76" spans="1:19" ht="16.75" customHeight="1" x14ac:dyDescent="0.15">
      <c r="A76" s="157"/>
      <c r="B76" s="70"/>
      <c r="C76" s="158"/>
      <c r="D76" s="158"/>
      <c r="E76" s="70"/>
      <c r="F76" s="70"/>
      <c r="G76" s="70"/>
      <c r="H76" s="70"/>
      <c r="I76" s="70"/>
      <c r="J76" s="70"/>
      <c r="K76" s="70"/>
      <c r="L76" s="70"/>
      <c r="M76" s="70"/>
      <c r="N76" s="70"/>
      <c r="O76" s="70"/>
      <c r="P76" s="70"/>
      <c r="Q76" s="70"/>
      <c r="R76" s="70"/>
      <c r="S76" s="70"/>
    </row>
    <row r="77" spans="1:19" ht="16.75" customHeight="1" x14ac:dyDescent="0.15">
      <c r="A77" s="157"/>
      <c r="B77" s="70"/>
      <c r="C77" s="158"/>
      <c r="D77" s="158"/>
      <c r="E77" s="70"/>
      <c r="F77" s="70"/>
      <c r="G77" s="70"/>
      <c r="H77" s="70"/>
      <c r="I77" s="70"/>
      <c r="J77" s="70"/>
      <c r="K77" s="70"/>
      <c r="L77" s="70"/>
      <c r="M77" s="70"/>
      <c r="N77" s="70"/>
      <c r="O77" s="70"/>
      <c r="P77" s="70"/>
      <c r="Q77" s="70"/>
      <c r="R77" s="70"/>
      <c r="S77" s="70"/>
    </row>
    <row r="78" spans="1:19" ht="16.75" customHeight="1" x14ac:dyDescent="0.15">
      <c r="A78" s="157"/>
      <c r="B78" s="70"/>
      <c r="C78" s="158"/>
      <c r="D78" s="158"/>
      <c r="E78" s="70"/>
      <c r="F78" s="70"/>
      <c r="G78" s="70"/>
      <c r="H78" s="70"/>
      <c r="I78" s="70"/>
      <c r="J78" s="70"/>
      <c r="K78" s="70"/>
      <c r="L78" s="70"/>
      <c r="M78" s="70"/>
      <c r="N78" s="70"/>
      <c r="O78" s="70"/>
      <c r="P78" s="70"/>
      <c r="Q78" s="70"/>
      <c r="R78" s="70"/>
      <c r="S78" s="70"/>
    </row>
    <row r="79" spans="1:19" ht="16.75" customHeight="1" x14ac:dyDescent="0.15">
      <c r="A79" s="157"/>
      <c r="B79" s="70"/>
      <c r="C79" s="158"/>
      <c r="D79" s="158"/>
      <c r="E79" s="70"/>
      <c r="F79" s="70"/>
      <c r="G79" s="70"/>
      <c r="H79" s="70"/>
      <c r="I79" s="70"/>
      <c r="J79" s="70"/>
      <c r="K79" s="70"/>
      <c r="L79" s="70"/>
      <c r="M79" s="70"/>
      <c r="N79" s="70"/>
      <c r="O79" s="70"/>
      <c r="P79" s="70"/>
      <c r="Q79" s="70"/>
      <c r="R79" s="70"/>
      <c r="S79" s="70"/>
    </row>
    <row r="80" spans="1:19" ht="14.25" customHeight="1" x14ac:dyDescent="0.15">
      <c r="A80" s="157"/>
      <c r="B80" s="70"/>
      <c r="C80" s="158"/>
      <c r="D80" s="158"/>
      <c r="E80" s="70"/>
      <c r="F80" s="70"/>
      <c r="G80" s="70"/>
      <c r="H80" s="70"/>
      <c r="I80" s="70"/>
      <c r="J80" s="70"/>
      <c r="K80" s="70"/>
      <c r="L80" s="70"/>
      <c r="M80" s="70"/>
      <c r="N80" s="70"/>
      <c r="O80" s="70"/>
      <c r="P80" s="70"/>
      <c r="Q80" s="70"/>
      <c r="R80" s="70"/>
      <c r="S80" s="70"/>
    </row>
    <row r="81" spans="1:19" ht="16.75" customHeight="1" x14ac:dyDescent="0.15">
      <c r="A81" s="157"/>
      <c r="B81" s="70"/>
      <c r="C81" s="158"/>
      <c r="D81" s="158"/>
      <c r="E81" s="70"/>
      <c r="F81" s="70"/>
      <c r="G81" s="70"/>
      <c r="H81" s="70"/>
      <c r="I81" s="70"/>
      <c r="J81" s="70"/>
      <c r="K81" s="70"/>
      <c r="L81" s="70"/>
      <c r="M81" s="70"/>
      <c r="N81" s="70"/>
      <c r="O81" s="70"/>
      <c r="P81" s="70"/>
      <c r="Q81" s="70"/>
      <c r="R81" s="70"/>
      <c r="S81" s="70"/>
    </row>
    <row r="82" spans="1:19" ht="16.75" customHeight="1" x14ac:dyDescent="0.15">
      <c r="A82" s="157"/>
      <c r="B82" s="70"/>
      <c r="C82" s="158"/>
      <c r="D82" s="158"/>
      <c r="E82" s="70"/>
      <c r="F82" s="70"/>
      <c r="G82" s="70"/>
      <c r="H82" s="70"/>
      <c r="I82" s="70"/>
      <c r="J82" s="70"/>
      <c r="K82" s="70"/>
      <c r="L82" s="70"/>
      <c r="M82" s="70"/>
      <c r="N82" s="70"/>
      <c r="O82" s="70"/>
      <c r="P82" s="70"/>
      <c r="Q82" s="70"/>
      <c r="R82" s="70"/>
      <c r="S82" s="70"/>
    </row>
    <row r="83" spans="1:19" ht="18.75" customHeight="1" x14ac:dyDescent="0.15">
      <c r="A83" s="157"/>
      <c r="B83" s="70"/>
      <c r="C83" s="158"/>
      <c r="D83" s="158"/>
      <c r="E83" s="70"/>
      <c r="F83" s="70"/>
      <c r="G83" s="70"/>
      <c r="H83" s="70"/>
      <c r="I83" s="70"/>
      <c r="J83" s="70"/>
      <c r="K83" s="70"/>
      <c r="L83" s="70"/>
      <c r="M83" s="70"/>
      <c r="N83" s="70"/>
      <c r="O83" s="70"/>
      <c r="P83" s="70"/>
      <c r="Q83" s="70"/>
      <c r="R83" s="70"/>
      <c r="S83" s="70"/>
    </row>
    <row r="84" spans="1:19" ht="18.75" customHeight="1" x14ac:dyDescent="0.15">
      <c r="A84" s="157"/>
      <c r="B84" s="70"/>
      <c r="C84" s="158"/>
      <c r="D84" s="158"/>
      <c r="E84" s="70"/>
      <c r="F84" s="70"/>
      <c r="G84" s="70"/>
      <c r="H84" s="70"/>
      <c r="I84" s="70"/>
      <c r="J84" s="70"/>
      <c r="K84" s="70"/>
      <c r="L84" s="70"/>
      <c r="M84" s="70"/>
      <c r="N84" s="70"/>
      <c r="O84" s="70"/>
      <c r="P84" s="70"/>
      <c r="Q84" s="70"/>
      <c r="R84" s="70"/>
      <c r="S84" s="70"/>
    </row>
    <row r="85" spans="1:19" ht="18.75" customHeight="1" x14ac:dyDescent="0.15">
      <c r="A85" s="157"/>
      <c r="B85" s="70"/>
      <c r="C85" s="158"/>
      <c r="D85" s="158"/>
      <c r="E85" s="70"/>
      <c r="F85" s="70"/>
      <c r="G85" s="70"/>
      <c r="H85" s="70"/>
      <c r="I85" s="70"/>
      <c r="J85" s="70"/>
      <c r="K85" s="70"/>
      <c r="L85" s="70"/>
      <c r="M85" s="70"/>
      <c r="N85" s="70"/>
      <c r="O85" s="70"/>
      <c r="P85" s="70"/>
      <c r="Q85" s="70"/>
      <c r="R85" s="70"/>
      <c r="S85" s="70"/>
    </row>
    <row r="86" spans="1:19" ht="18.75" customHeight="1" x14ac:dyDescent="0.15">
      <c r="A86" s="157"/>
      <c r="B86" s="70"/>
      <c r="C86" s="158"/>
      <c r="D86" s="158"/>
      <c r="E86" s="70"/>
      <c r="F86" s="70"/>
      <c r="G86" s="70"/>
      <c r="H86" s="70"/>
      <c r="I86" s="70"/>
      <c r="J86" s="70"/>
      <c r="K86" s="70"/>
      <c r="L86" s="70"/>
      <c r="M86" s="70"/>
      <c r="N86" s="70"/>
      <c r="O86" s="70"/>
      <c r="P86" s="70"/>
      <c r="Q86" s="70"/>
      <c r="R86" s="70"/>
      <c r="S86" s="70"/>
    </row>
    <row r="87" spans="1:19" ht="18.75" customHeight="1" x14ac:dyDescent="0.15">
      <c r="A87" s="157"/>
      <c r="B87" s="70"/>
      <c r="C87" s="158"/>
      <c r="D87" s="158"/>
      <c r="E87" s="70"/>
      <c r="F87" s="70"/>
      <c r="G87" s="70"/>
      <c r="H87" s="70"/>
      <c r="I87" s="70"/>
      <c r="J87" s="70"/>
      <c r="K87" s="70"/>
      <c r="L87" s="70"/>
      <c r="M87" s="70"/>
      <c r="N87" s="70"/>
      <c r="O87" s="70"/>
      <c r="P87" s="70"/>
      <c r="Q87" s="70"/>
      <c r="R87" s="70"/>
      <c r="S87" s="70"/>
    </row>
    <row r="88" spans="1:19" ht="18.75" customHeight="1" x14ac:dyDescent="0.15">
      <c r="A88" s="157"/>
      <c r="B88" s="70"/>
      <c r="C88" s="158"/>
      <c r="D88" s="158"/>
      <c r="E88" s="70"/>
      <c r="F88" s="70"/>
      <c r="G88" s="70"/>
      <c r="H88" s="70"/>
      <c r="I88" s="70"/>
      <c r="J88" s="70"/>
      <c r="K88" s="70"/>
      <c r="L88" s="70"/>
      <c r="M88" s="70"/>
      <c r="N88" s="70"/>
      <c r="O88" s="70"/>
      <c r="P88" s="70"/>
      <c r="Q88" s="70"/>
      <c r="R88" s="70"/>
      <c r="S88" s="70"/>
    </row>
    <row r="89" spans="1:19" ht="18.75" customHeight="1" x14ac:dyDescent="0.15">
      <c r="A89" s="157"/>
      <c r="B89" s="70"/>
      <c r="C89" s="158"/>
      <c r="D89" s="158"/>
      <c r="E89" s="70"/>
      <c r="F89" s="70"/>
      <c r="G89" s="70"/>
      <c r="H89" s="70"/>
      <c r="I89" s="70"/>
      <c r="J89" s="70"/>
      <c r="K89" s="70"/>
      <c r="L89" s="70"/>
      <c r="M89" s="70"/>
      <c r="N89" s="70"/>
      <c r="O89" s="70"/>
      <c r="P89" s="70"/>
      <c r="Q89" s="70"/>
      <c r="R89" s="70"/>
      <c r="S89" s="70"/>
    </row>
    <row r="90" spans="1:19" ht="18.75" customHeight="1" x14ac:dyDescent="0.15">
      <c r="A90" s="157"/>
      <c r="B90" s="70"/>
      <c r="C90" s="158"/>
      <c r="D90" s="158"/>
      <c r="E90" s="70"/>
      <c r="F90" s="70"/>
      <c r="G90" s="70"/>
      <c r="H90" s="70"/>
      <c r="I90" s="70"/>
      <c r="J90" s="70"/>
      <c r="K90" s="70"/>
      <c r="L90" s="70"/>
      <c r="M90" s="70"/>
      <c r="N90" s="70"/>
      <c r="O90" s="70"/>
      <c r="P90" s="70"/>
      <c r="Q90" s="70"/>
      <c r="R90" s="70"/>
      <c r="S90" s="70"/>
    </row>
    <row r="91" spans="1:19" ht="18" customHeight="1" x14ac:dyDescent="0.15">
      <c r="A91" s="157"/>
      <c r="B91" s="70"/>
      <c r="C91" s="158"/>
      <c r="D91" s="158"/>
      <c r="E91" s="70"/>
      <c r="F91" s="70"/>
      <c r="G91" s="70"/>
      <c r="H91" s="70"/>
      <c r="I91" s="70"/>
      <c r="J91" s="70"/>
      <c r="K91" s="70"/>
      <c r="L91" s="70"/>
      <c r="M91" s="70"/>
      <c r="N91" s="70"/>
      <c r="O91" s="70"/>
      <c r="P91" s="70"/>
      <c r="Q91" s="70"/>
      <c r="R91" s="70"/>
      <c r="S91" s="70"/>
    </row>
    <row r="92" spans="1:19" x14ac:dyDescent="0.15">
      <c r="A92" s="157"/>
      <c r="B92" s="70"/>
      <c r="C92" s="158"/>
      <c r="D92" s="158"/>
      <c r="E92" s="70"/>
      <c r="F92" s="70"/>
      <c r="G92" s="70"/>
      <c r="H92" s="70"/>
      <c r="I92" s="70"/>
      <c r="J92" s="70"/>
      <c r="K92" s="70"/>
      <c r="L92" s="70"/>
      <c r="M92" s="70"/>
      <c r="N92" s="70"/>
      <c r="O92" s="70"/>
      <c r="P92" s="70"/>
      <c r="Q92" s="70"/>
      <c r="R92" s="70"/>
      <c r="S92" s="70"/>
    </row>
    <row r="93" spans="1:19" x14ac:dyDescent="0.15">
      <c r="A93" s="157"/>
      <c r="B93" s="70"/>
      <c r="C93" s="158"/>
      <c r="D93" s="158"/>
      <c r="E93" s="70"/>
      <c r="F93" s="70"/>
      <c r="G93" s="70"/>
      <c r="H93" s="70"/>
      <c r="I93" s="70"/>
      <c r="J93" s="70"/>
      <c r="K93" s="70"/>
      <c r="L93" s="70"/>
      <c r="M93" s="70"/>
      <c r="N93" s="70"/>
      <c r="O93" s="70"/>
      <c r="P93" s="70"/>
      <c r="Q93" s="70"/>
      <c r="R93" s="70"/>
      <c r="S93" s="70"/>
    </row>
    <row r="94" spans="1:19" ht="24.75" customHeight="1" x14ac:dyDescent="0.15">
      <c r="A94" s="157"/>
      <c r="B94" s="70"/>
      <c r="C94" s="158"/>
      <c r="D94" s="158"/>
      <c r="E94" s="70"/>
      <c r="F94" s="70"/>
      <c r="G94" s="70"/>
      <c r="H94" s="70"/>
      <c r="I94" s="70"/>
      <c r="J94" s="70"/>
      <c r="K94" s="70"/>
      <c r="L94" s="70"/>
      <c r="M94" s="70"/>
      <c r="N94" s="70"/>
      <c r="O94" s="70"/>
      <c r="P94" s="70"/>
      <c r="Q94" s="70"/>
      <c r="R94" s="70"/>
      <c r="S94" s="70"/>
    </row>
    <row r="95" spans="1:19" ht="18.75" customHeight="1" x14ac:dyDescent="0.15">
      <c r="A95" s="157"/>
      <c r="B95" s="70"/>
      <c r="C95" s="158"/>
      <c r="D95" s="158"/>
      <c r="E95" s="70"/>
      <c r="F95" s="70"/>
      <c r="G95" s="70"/>
      <c r="H95" s="70"/>
      <c r="I95" s="70"/>
      <c r="J95" s="70"/>
      <c r="K95" s="70"/>
      <c r="L95" s="70"/>
      <c r="M95" s="70"/>
      <c r="N95" s="70"/>
      <c r="O95" s="70"/>
      <c r="P95" s="70"/>
      <c r="Q95" s="70"/>
      <c r="R95" s="70"/>
      <c r="S95" s="70"/>
    </row>
    <row r="96" spans="1:19" ht="26.25" customHeight="1" x14ac:dyDescent="0.15">
      <c r="A96" s="157"/>
      <c r="B96" s="70"/>
      <c r="C96" s="158"/>
      <c r="D96" s="158"/>
      <c r="E96" s="70"/>
      <c r="F96" s="70"/>
      <c r="G96" s="70"/>
      <c r="H96" s="70"/>
      <c r="I96" s="70"/>
      <c r="J96" s="70"/>
      <c r="K96" s="70"/>
      <c r="L96" s="70"/>
      <c r="M96" s="70"/>
      <c r="N96" s="70"/>
      <c r="O96" s="70"/>
      <c r="P96" s="70"/>
      <c r="Q96" s="70"/>
      <c r="R96" s="70"/>
      <c r="S96" s="70"/>
    </row>
    <row r="97" spans="1:19" x14ac:dyDescent="0.15">
      <c r="A97" s="157"/>
      <c r="B97" s="70"/>
      <c r="C97" s="158"/>
      <c r="D97" s="158"/>
      <c r="E97" s="70"/>
      <c r="F97" s="70"/>
      <c r="G97" s="70"/>
      <c r="H97" s="70"/>
      <c r="I97" s="70"/>
      <c r="J97" s="70"/>
      <c r="K97" s="70"/>
      <c r="L97" s="70"/>
      <c r="M97" s="70"/>
      <c r="N97" s="70"/>
      <c r="O97" s="70"/>
      <c r="P97" s="70"/>
      <c r="Q97" s="70"/>
      <c r="R97" s="70"/>
      <c r="S97" s="70"/>
    </row>
    <row r="98" spans="1:19" ht="18.75" customHeight="1" x14ac:dyDescent="0.15">
      <c r="A98" s="157"/>
      <c r="B98" s="70"/>
      <c r="C98" s="158"/>
      <c r="D98" s="158"/>
      <c r="E98" s="70"/>
      <c r="F98" s="70"/>
      <c r="G98" s="70"/>
      <c r="H98" s="70"/>
      <c r="I98" s="70"/>
      <c r="J98" s="70"/>
      <c r="K98" s="70"/>
      <c r="L98" s="70"/>
      <c r="M98" s="70"/>
      <c r="N98" s="70"/>
      <c r="O98" s="70"/>
      <c r="P98" s="70"/>
      <c r="Q98" s="70"/>
      <c r="R98" s="70"/>
      <c r="S98" s="70"/>
    </row>
    <row r="99" spans="1:19" x14ac:dyDescent="0.15">
      <c r="A99" s="157"/>
      <c r="B99" s="70"/>
      <c r="C99" s="158"/>
      <c r="D99" s="158"/>
      <c r="E99" s="70"/>
      <c r="F99" s="70"/>
      <c r="G99" s="70"/>
      <c r="H99" s="70"/>
      <c r="I99" s="70"/>
      <c r="J99" s="70"/>
      <c r="K99" s="70"/>
      <c r="L99" s="70"/>
      <c r="M99" s="70"/>
      <c r="N99" s="70"/>
      <c r="O99" s="70"/>
      <c r="P99" s="70"/>
      <c r="Q99" s="70"/>
      <c r="R99" s="70"/>
      <c r="S99" s="70"/>
    </row>
    <row r="100" spans="1:19" x14ac:dyDescent="0.15">
      <c r="A100" s="157"/>
      <c r="B100" s="70"/>
      <c r="C100" s="158"/>
      <c r="D100" s="158"/>
      <c r="E100" s="70"/>
      <c r="F100" s="70"/>
      <c r="G100" s="70"/>
      <c r="H100" s="70"/>
      <c r="I100" s="70"/>
      <c r="J100" s="70"/>
      <c r="K100" s="70"/>
      <c r="L100" s="70"/>
      <c r="M100" s="70"/>
      <c r="N100" s="70"/>
      <c r="O100" s="70"/>
      <c r="P100" s="70"/>
      <c r="Q100" s="70"/>
      <c r="R100" s="70"/>
      <c r="S100" s="70"/>
    </row>
    <row r="101" spans="1:19" x14ac:dyDescent="0.15">
      <c r="A101" s="157"/>
      <c r="B101" s="70"/>
      <c r="C101" s="158"/>
      <c r="D101" s="158"/>
      <c r="E101" s="70"/>
      <c r="F101" s="70"/>
      <c r="G101" s="70"/>
      <c r="H101" s="70"/>
      <c r="I101" s="70"/>
      <c r="J101" s="70"/>
      <c r="K101" s="70"/>
      <c r="L101" s="70"/>
      <c r="M101" s="70"/>
      <c r="N101" s="70"/>
      <c r="O101" s="70"/>
      <c r="P101" s="70"/>
      <c r="Q101" s="70"/>
      <c r="R101" s="70"/>
      <c r="S101" s="70"/>
    </row>
    <row r="102" spans="1:19" x14ac:dyDescent="0.15">
      <c r="A102" s="157"/>
      <c r="B102" s="70"/>
      <c r="C102" s="158"/>
      <c r="D102" s="158"/>
      <c r="E102" s="70"/>
      <c r="F102" s="70"/>
      <c r="G102" s="70"/>
      <c r="H102" s="70"/>
      <c r="I102" s="70"/>
      <c r="J102" s="70"/>
      <c r="K102" s="70"/>
      <c r="L102" s="70"/>
      <c r="M102" s="70"/>
      <c r="N102" s="70"/>
      <c r="O102" s="70"/>
      <c r="P102" s="70"/>
      <c r="Q102" s="70"/>
      <c r="R102" s="70"/>
      <c r="S102" s="70"/>
    </row>
    <row r="103" spans="1:19" x14ac:dyDescent="0.15">
      <c r="A103" s="157"/>
      <c r="B103" s="70"/>
      <c r="C103" s="158"/>
      <c r="D103" s="158"/>
      <c r="E103" s="70"/>
      <c r="F103" s="70"/>
      <c r="G103" s="70"/>
      <c r="H103" s="70"/>
      <c r="I103" s="70"/>
      <c r="J103" s="70"/>
      <c r="K103" s="70"/>
      <c r="L103" s="70"/>
      <c r="M103" s="70"/>
      <c r="N103" s="70"/>
      <c r="O103" s="70"/>
      <c r="P103" s="70"/>
      <c r="Q103" s="70"/>
      <c r="R103" s="70"/>
      <c r="S103" s="70"/>
    </row>
    <row r="104" spans="1:19" x14ac:dyDescent="0.15">
      <c r="A104" s="157"/>
      <c r="B104" s="70"/>
      <c r="C104" s="158"/>
      <c r="D104" s="158"/>
      <c r="E104" s="70"/>
      <c r="F104" s="70"/>
      <c r="G104" s="70"/>
      <c r="H104" s="70"/>
      <c r="I104" s="70"/>
      <c r="J104" s="70"/>
      <c r="K104" s="70"/>
      <c r="L104" s="70"/>
      <c r="M104" s="70"/>
      <c r="N104" s="70"/>
      <c r="O104" s="70"/>
      <c r="P104" s="70"/>
      <c r="Q104" s="70"/>
      <c r="R104" s="70"/>
      <c r="S104" s="70"/>
    </row>
    <row r="105" spans="1:19" x14ac:dyDescent="0.15">
      <c r="A105" s="157"/>
      <c r="B105" s="70"/>
      <c r="C105" s="158"/>
      <c r="D105" s="158"/>
      <c r="E105" s="70"/>
      <c r="F105" s="70"/>
      <c r="G105" s="70"/>
      <c r="H105" s="70"/>
      <c r="I105" s="70"/>
      <c r="J105" s="70"/>
      <c r="K105" s="70"/>
      <c r="L105" s="70"/>
      <c r="M105" s="70"/>
      <c r="N105" s="70"/>
      <c r="O105" s="70"/>
      <c r="P105" s="70"/>
      <c r="Q105" s="70"/>
      <c r="R105" s="70"/>
      <c r="S105" s="70"/>
    </row>
    <row r="106" spans="1:19" x14ac:dyDescent="0.15">
      <c r="A106" s="157"/>
      <c r="B106" s="70"/>
      <c r="C106" s="158"/>
      <c r="D106" s="158"/>
      <c r="E106" s="70"/>
      <c r="F106" s="70"/>
      <c r="G106" s="70"/>
      <c r="H106" s="70"/>
      <c r="I106" s="70"/>
      <c r="J106" s="70"/>
      <c r="K106" s="70"/>
      <c r="L106" s="70"/>
      <c r="M106" s="70"/>
      <c r="N106" s="70"/>
      <c r="O106" s="70"/>
      <c r="P106" s="70"/>
      <c r="Q106" s="70"/>
      <c r="R106" s="70"/>
      <c r="S106" s="70"/>
    </row>
    <row r="107" spans="1:19" x14ac:dyDescent="0.15">
      <c r="A107" s="157"/>
      <c r="B107" s="70"/>
      <c r="C107" s="158"/>
      <c r="D107" s="158"/>
      <c r="E107" s="70"/>
      <c r="F107" s="70"/>
      <c r="G107" s="70"/>
      <c r="H107" s="70"/>
      <c r="I107" s="70"/>
      <c r="J107" s="70"/>
      <c r="K107" s="70"/>
      <c r="L107" s="70"/>
      <c r="M107" s="70"/>
      <c r="N107" s="70"/>
      <c r="O107" s="70"/>
      <c r="P107" s="70"/>
      <c r="Q107" s="70"/>
      <c r="R107" s="70"/>
      <c r="S107" s="70"/>
    </row>
    <row r="108" spans="1:19" x14ac:dyDescent="0.15">
      <c r="A108" s="157"/>
      <c r="B108" s="70"/>
      <c r="C108" s="158"/>
      <c r="D108" s="158"/>
      <c r="E108" s="70"/>
      <c r="F108" s="70"/>
      <c r="G108" s="70"/>
      <c r="H108" s="70"/>
      <c r="I108" s="70"/>
      <c r="J108" s="70"/>
      <c r="K108" s="70"/>
      <c r="L108" s="70"/>
      <c r="M108" s="70"/>
      <c r="N108" s="70"/>
      <c r="O108" s="70"/>
      <c r="P108" s="70"/>
      <c r="Q108" s="70"/>
      <c r="R108" s="70"/>
      <c r="S108" s="70"/>
    </row>
    <row r="109" spans="1:19" x14ac:dyDescent="0.15">
      <c r="A109" s="157"/>
      <c r="B109" s="70"/>
      <c r="C109" s="158"/>
      <c r="D109" s="158"/>
      <c r="E109" s="70"/>
      <c r="F109" s="70"/>
      <c r="G109" s="70"/>
      <c r="H109" s="70"/>
      <c r="I109" s="70"/>
      <c r="J109" s="70"/>
      <c r="K109" s="70"/>
      <c r="L109" s="70"/>
      <c r="M109" s="70"/>
      <c r="N109" s="70"/>
      <c r="O109" s="70"/>
      <c r="P109" s="70"/>
      <c r="Q109" s="70"/>
      <c r="R109" s="70"/>
      <c r="S109" s="70"/>
    </row>
    <row r="110" spans="1:19" x14ac:dyDescent="0.15">
      <c r="A110" s="157"/>
      <c r="B110" s="70"/>
      <c r="C110" s="158"/>
      <c r="D110" s="158"/>
      <c r="E110" s="70"/>
      <c r="F110" s="70"/>
      <c r="G110" s="70"/>
      <c r="H110" s="70"/>
      <c r="I110" s="70"/>
      <c r="J110" s="70"/>
      <c r="K110" s="70"/>
      <c r="L110" s="70"/>
      <c r="M110" s="70"/>
      <c r="N110" s="70"/>
      <c r="O110" s="70"/>
      <c r="P110" s="70"/>
      <c r="Q110" s="70"/>
      <c r="R110" s="70"/>
      <c r="S110" s="70"/>
    </row>
    <row r="111" spans="1:19" x14ac:dyDescent="0.15">
      <c r="A111" s="157"/>
      <c r="B111" s="70"/>
      <c r="C111" s="158"/>
      <c r="D111" s="158"/>
      <c r="E111" s="70"/>
      <c r="F111" s="70"/>
      <c r="G111" s="70"/>
      <c r="H111" s="70"/>
      <c r="I111" s="70"/>
      <c r="J111" s="70"/>
      <c r="K111" s="70"/>
      <c r="L111" s="70"/>
      <c r="M111" s="70"/>
      <c r="N111" s="70"/>
      <c r="O111" s="70"/>
      <c r="P111" s="70"/>
      <c r="Q111" s="70"/>
      <c r="R111" s="70"/>
      <c r="S111" s="70"/>
    </row>
    <row r="112" spans="1:19" x14ac:dyDescent="0.15">
      <c r="A112" s="157"/>
      <c r="B112" s="70"/>
      <c r="C112" s="158"/>
      <c r="D112" s="158"/>
      <c r="E112" s="70"/>
      <c r="F112" s="70"/>
      <c r="G112" s="70"/>
      <c r="H112" s="70"/>
      <c r="I112" s="70"/>
      <c r="J112" s="70"/>
      <c r="K112" s="70"/>
      <c r="L112" s="70"/>
      <c r="M112" s="70"/>
      <c r="N112" s="70"/>
      <c r="O112" s="70"/>
      <c r="P112" s="70"/>
      <c r="Q112" s="70"/>
      <c r="R112" s="70"/>
      <c r="S112" s="70"/>
    </row>
    <row r="113" spans="1:19" x14ac:dyDescent="0.15">
      <c r="A113" s="157"/>
      <c r="B113" s="70"/>
      <c r="C113" s="158"/>
      <c r="D113" s="158"/>
      <c r="E113" s="70"/>
      <c r="F113" s="70"/>
      <c r="G113" s="70"/>
      <c r="H113" s="70"/>
      <c r="I113" s="70"/>
      <c r="J113" s="70"/>
      <c r="K113" s="70"/>
      <c r="L113" s="70"/>
      <c r="M113" s="70"/>
      <c r="N113" s="70"/>
      <c r="O113" s="70"/>
      <c r="P113" s="70"/>
      <c r="Q113" s="70"/>
      <c r="R113" s="70"/>
      <c r="S113" s="70"/>
    </row>
    <row r="114" spans="1:19" x14ac:dyDescent="0.15">
      <c r="A114" s="157"/>
      <c r="B114" s="70"/>
      <c r="C114" s="158"/>
      <c r="D114" s="158"/>
      <c r="E114" s="70"/>
      <c r="F114" s="70"/>
      <c r="G114" s="70"/>
      <c r="H114" s="70"/>
      <c r="I114" s="70"/>
      <c r="J114" s="70"/>
      <c r="K114" s="70"/>
      <c r="L114" s="70"/>
      <c r="M114" s="70"/>
      <c r="N114" s="70"/>
      <c r="O114" s="70"/>
      <c r="P114" s="70"/>
      <c r="Q114" s="70"/>
      <c r="R114" s="70"/>
      <c r="S114" s="70"/>
    </row>
    <row r="115" spans="1:19" x14ac:dyDescent="0.15">
      <c r="A115" s="157"/>
      <c r="B115" s="70"/>
      <c r="C115" s="158"/>
      <c r="D115" s="158"/>
      <c r="E115" s="70"/>
      <c r="F115" s="70"/>
      <c r="G115" s="70"/>
      <c r="H115" s="70"/>
      <c r="I115" s="70"/>
      <c r="J115" s="70"/>
      <c r="K115" s="70"/>
      <c r="L115" s="70"/>
      <c r="M115" s="70"/>
      <c r="N115" s="70"/>
      <c r="O115" s="70"/>
      <c r="P115" s="70"/>
      <c r="Q115" s="70"/>
      <c r="R115" s="70"/>
      <c r="S115" s="70"/>
    </row>
  </sheetData>
  <mergeCells count="9">
    <mergeCell ref="G4:G5"/>
    <mergeCell ref="H4:H5"/>
    <mergeCell ref="I4:I5"/>
    <mergeCell ref="J4:J5"/>
    <mergeCell ref="A4:A5"/>
    <mergeCell ref="C4:C5"/>
    <mergeCell ref="D4:D5"/>
    <mergeCell ref="E4:E5"/>
    <mergeCell ref="F4:F5"/>
  </mergeCells>
  <conditionalFormatting sqref="J6:J35">
    <cfRule type="cellIs" dxfId="1" priority="2" operator="notEqual">
      <formula>0</formula>
    </cfRule>
  </conditionalFormatting>
  <printOptions horizontalCentered="1"/>
  <pageMargins left="3.9583333333333297E-2" right="3.9583333333333297E-2" top="0.39374999999999999" bottom="0.39305555555555599" header="0.51180555555555496" footer="0.196527777777778"/>
  <pageSetup paperSize="9" firstPageNumber="0" orientation="landscape" horizontalDpi="300" verticalDpi="300"/>
  <headerFooter>
    <oddFooter>&amp;L&amp;9 &amp;F - &amp;A&amp;C&amp;9 &amp;P&amp;R&amp;9 Printed on &amp;D at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AMJ114"/>
  <sheetViews>
    <sheetView showGridLines="0" showZeros="0" tabSelected="1" zoomScale="70" zoomScaleNormal="70" workbookViewId="0">
      <selection activeCell="E55" sqref="E55"/>
    </sheetView>
  </sheetViews>
  <sheetFormatPr baseColWidth="10" defaultColWidth="9.1640625" defaultRowHeight="13" x14ac:dyDescent="0.15"/>
  <cols>
    <col min="1" max="1" width="15.6640625" style="51" customWidth="1"/>
    <col min="2" max="2" width="59.6640625" style="1" customWidth="1"/>
    <col min="3" max="3" width="15" style="42" customWidth="1"/>
    <col min="4" max="4" width="15.5" style="42" customWidth="1"/>
    <col min="5" max="5" width="13" style="1" customWidth="1"/>
    <col min="6" max="6" width="43.33203125" style="1" customWidth="1"/>
    <col min="7" max="7" width="14.83203125" style="1" customWidth="1"/>
    <col min="8" max="8" width="14.5" style="1" customWidth="1"/>
    <col min="9" max="9" width="13.33203125" style="1" customWidth="1"/>
    <col min="10" max="10" width="16.83203125" style="1" customWidth="1"/>
    <col min="11" max="11" width="4.83203125" style="1" customWidth="1"/>
    <col min="12" max="12" width="17.6640625" style="1" customWidth="1"/>
    <col min="13" max="13" width="20.5" style="1" customWidth="1"/>
    <col min="14" max="15" width="14.5" style="1" customWidth="1"/>
    <col min="16" max="16" width="9.1640625" style="1"/>
    <col min="17" max="17" width="10.5" style="1" customWidth="1"/>
    <col min="18" max="18" width="12" style="1" customWidth="1"/>
    <col min="19" max="1024" width="9.1640625" style="1"/>
  </cols>
  <sheetData>
    <row r="1" spans="1:19" ht="33.75" customHeight="1" x14ac:dyDescent="0.2">
      <c r="A1" s="119" t="s">
        <v>93</v>
      </c>
      <c r="B1" s="120"/>
      <c r="C1" s="120"/>
      <c r="D1" s="120"/>
      <c r="E1" s="120"/>
      <c r="F1" s="120"/>
      <c r="G1" s="120"/>
      <c r="H1" s="120"/>
      <c r="I1" s="120"/>
      <c r="J1" s="120"/>
    </row>
    <row r="2" spans="1:19" ht="30" customHeight="1" x14ac:dyDescent="0.2">
      <c r="A2" s="121" t="s">
        <v>94</v>
      </c>
      <c r="B2" s="122" t="str">
        <f>'Mileage Detail'!B2</f>
        <v>Brian Fleming</v>
      </c>
      <c r="C2" s="120"/>
      <c r="D2" s="120"/>
      <c r="E2" s="120"/>
      <c r="F2" s="120"/>
      <c r="G2" s="120"/>
      <c r="H2" s="120"/>
      <c r="I2" s="120"/>
      <c r="J2" s="120"/>
      <c r="K2" s="123"/>
    </row>
    <row r="3" spans="1:19" ht="21.75" customHeight="1" x14ac:dyDescent="0.2">
      <c r="A3" s="124"/>
      <c r="B3" s="125"/>
      <c r="C3" s="126"/>
      <c r="D3" s="126"/>
      <c r="E3" s="125"/>
      <c r="F3" s="125"/>
      <c r="G3" s="125"/>
      <c r="H3" s="125"/>
      <c r="I3" s="125"/>
      <c r="J3" s="127"/>
      <c r="K3" s="128"/>
      <c r="N3" s="70"/>
      <c r="O3" s="70"/>
      <c r="P3" s="70"/>
      <c r="Q3" s="70"/>
      <c r="R3" s="70"/>
      <c r="S3" s="70"/>
    </row>
    <row r="4" spans="1:19" ht="70.25" customHeight="1" x14ac:dyDescent="0.2">
      <c r="A4" s="220" t="s">
        <v>95</v>
      </c>
      <c r="B4" s="129" t="s">
        <v>96</v>
      </c>
      <c r="C4" s="218" t="s">
        <v>97</v>
      </c>
      <c r="D4" s="218" t="s">
        <v>98</v>
      </c>
      <c r="E4" s="218" t="s">
        <v>99</v>
      </c>
      <c r="F4" s="218" t="s">
        <v>100</v>
      </c>
      <c r="G4" s="217" t="s">
        <v>101</v>
      </c>
      <c r="H4" s="218" t="s">
        <v>102</v>
      </c>
      <c r="I4" s="219" t="s">
        <v>103</v>
      </c>
      <c r="J4" s="219" t="s">
        <v>104</v>
      </c>
      <c r="K4" s="128"/>
      <c r="L4" s="130" t="s">
        <v>4</v>
      </c>
      <c r="M4" s="131" t="s">
        <v>204</v>
      </c>
      <c r="N4" s="70"/>
      <c r="O4" s="70"/>
      <c r="P4" s="70"/>
      <c r="Q4" s="70"/>
      <c r="R4" s="70"/>
      <c r="S4" s="70"/>
    </row>
    <row r="5" spans="1:19" ht="70.25" customHeight="1" x14ac:dyDescent="0.2">
      <c r="A5" s="220"/>
      <c r="B5" s="132" t="s">
        <v>105</v>
      </c>
      <c r="C5" s="218"/>
      <c r="D5" s="218"/>
      <c r="E5" s="218"/>
      <c r="F5" s="218"/>
      <c r="G5" s="217"/>
      <c r="H5" s="218"/>
      <c r="I5" s="219"/>
      <c r="J5" s="219"/>
      <c r="K5" s="133"/>
      <c r="L5" s="134" t="s">
        <v>7</v>
      </c>
      <c r="M5" s="131">
        <v>1600</v>
      </c>
      <c r="N5" s="70"/>
      <c r="O5" s="70"/>
      <c r="P5" s="70"/>
      <c r="Q5" s="70"/>
      <c r="R5" s="70"/>
      <c r="S5" s="70"/>
    </row>
    <row r="6" spans="1:19" s="5" customFormat="1" ht="16" customHeight="1" x14ac:dyDescent="0.2">
      <c r="A6" s="135"/>
      <c r="B6" s="136"/>
      <c r="C6" s="137"/>
      <c r="D6" s="137"/>
      <c r="E6" s="138"/>
      <c r="F6" s="136"/>
      <c r="G6" s="139"/>
      <c r="H6" s="140"/>
      <c r="I6" s="141">
        <f t="shared" ref="I6:I35" si="0">0.05*G6</f>
        <v>0</v>
      </c>
      <c r="J6" s="142">
        <f t="shared" ref="J6:J35" si="1">I6*H6</f>
        <v>0</v>
      </c>
      <c r="K6" s="143">
        <f t="shared" ref="K6:K35" si="2">IF(H6&lt;&gt;0,IF(F6&lt;&gt;0,0,"Error - passenger names need to be input"),0)</f>
        <v>0</v>
      </c>
      <c r="L6" s="144" t="s">
        <v>106</v>
      </c>
      <c r="M6" s="131" t="s">
        <v>205</v>
      </c>
      <c r="N6" s="70"/>
      <c r="O6" s="70"/>
      <c r="P6" s="70"/>
      <c r="Q6" s="70"/>
      <c r="R6" s="70"/>
      <c r="S6" s="70"/>
    </row>
    <row r="7" spans="1:19" ht="16" customHeight="1" x14ac:dyDescent="0.2">
      <c r="A7" s="145"/>
      <c r="B7" s="147"/>
      <c r="C7" s="146"/>
      <c r="D7" s="146"/>
      <c r="E7" s="140"/>
      <c r="F7" s="147"/>
      <c r="G7" s="139"/>
      <c r="H7" s="140"/>
      <c r="I7" s="141">
        <f t="shared" si="0"/>
        <v>0</v>
      </c>
      <c r="J7" s="142">
        <f t="shared" si="1"/>
        <v>0</v>
      </c>
      <c r="K7" s="143">
        <f t="shared" si="2"/>
        <v>0</v>
      </c>
      <c r="L7" s="144" t="s">
        <v>107</v>
      </c>
      <c r="M7" s="131" t="s">
        <v>206</v>
      </c>
      <c r="N7" s="70"/>
      <c r="O7" s="70"/>
      <c r="P7" s="70"/>
      <c r="Q7" s="70"/>
      <c r="R7" s="70"/>
      <c r="S7" s="70"/>
    </row>
    <row r="8" spans="1:19" s="5" customFormat="1" ht="16" customHeight="1" x14ac:dyDescent="0.2">
      <c r="A8" s="145"/>
      <c r="B8" s="147"/>
      <c r="C8" s="146"/>
      <c r="D8" s="146"/>
      <c r="E8" s="140"/>
      <c r="F8" s="147"/>
      <c r="G8" s="139"/>
      <c r="H8" s="140"/>
      <c r="I8" s="141">
        <f t="shared" si="0"/>
        <v>0</v>
      </c>
      <c r="J8" s="142">
        <f t="shared" si="1"/>
        <v>0</v>
      </c>
      <c r="K8" s="143">
        <f t="shared" si="2"/>
        <v>0</v>
      </c>
      <c r="L8" s="70"/>
      <c r="M8" s="70"/>
      <c r="N8" s="70"/>
      <c r="O8" s="70"/>
      <c r="P8" s="70"/>
      <c r="Q8" s="70"/>
      <c r="R8" s="70"/>
      <c r="S8" s="70"/>
    </row>
    <row r="9" spans="1:19" ht="16" customHeight="1" x14ac:dyDescent="0.2">
      <c r="A9" s="145"/>
      <c r="B9" s="147"/>
      <c r="C9" s="146"/>
      <c r="D9" s="146"/>
      <c r="E9" s="140">
        <v>0</v>
      </c>
      <c r="F9" s="147"/>
      <c r="G9" s="139"/>
      <c r="H9" s="140"/>
      <c r="I9" s="141">
        <f t="shared" si="0"/>
        <v>0</v>
      </c>
      <c r="J9" s="142">
        <f t="shared" si="1"/>
        <v>0</v>
      </c>
      <c r="K9" s="143">
        <f t="shared" si="2"/>
        <v>0</v>
      </c>
      <c r="L9" s="70"/>
      <c r="M9" s="70"/>
      <c r="N9" s="70"/>
      <c r="O9" s="70"/>
      <c r="P9" s="70"/>
      <c r="Q9" s="70"/>
      <c r="R9" s="70"/>
      <c r="S9" s="70"/>
    </row>
    <row r="10" spans="1:19" ht="16" customHeight="1" x14ac:dyDescent="0.2">
      <c r="A10" s="145"/>
      <c r="B10" s="147"/>
      <c r="C10" s="146"/>
      <c r="D10" s="146"/>
      <c r="E10" s="140"/>
      <c r="F10" s="147"/>
      <c r="G10" s="139"/>
      <c r="H10" s="140"/>
      <c r="I10" s="141">
        <f t="shared" si="0"/>
        <v>0</v>
      </c>
      <c r="J10" s="142">
        <f t="shared" si="1"/>
        <v>0</v>
      </c>
      <c r="K10" s="143">
        <f t="shared" si="2"/>
        <v>0</v>
      </c>
      <c r="L10" s="70"/>
      <c r="M10" s="70"/>
      <c r="N10" s="70"/>
      <c r="O10" s="70"/>
      <c r="P10" s="70"/>
      <c r="Q10" s="70"/>
      <c r="R10" s="70"/>
      <c r="S10" s="70"/>
    </row>
    <row r="11" spans="1:19" ht="16" customHeight="1" x14ac:dyDescent="0.2">
      <c r="A11" s="145"/>
      <c r="B11" s="147"/>
      <c r="C11" s="146"/>
      <c r="D11" s="146"/>
      <c r="E11" s="140"/>
      <c r="F11" s="147"/>
      <c r="G11" s="139"/>
      <c r="H11" s="140"/>
      <c r="I11" s="141">
        <f t="shared" si="0"/>
        <v>0</v>
      </c>
      <c r="J11" s="142">
        <f t="shared" si="1"/>
        <v>0</v>
      </c>
      <c r="K11" s="143">
        <f t="shared" si="2"/>
        <v>0</v>
      </c>
      <c r="L11" s="70"/>
      <c r="M11" s="70"/>
      <c r="N11" s="70"/>
      <c r="O11" s="70"/>
      <c r="P11" s="70"/>
      <c r="Q11" s="70"/>
      <c r="R11" s="70"/>
      <c r="S11" s="70"/>
    </row>
    <row r="12" spans="1:19" ht="16" customHeight="1" x14ac:dyDescent="0.2">
      <c r="A12" s="145"/>
      <c r="B12" s="147"/>
      <c r="C12" s="146"/>
      <c r="D12" s="146"/>
      <c r="E12" s="140"/>
      <c r="F12" s="147"/>
      <c r="G12" s="139"/>
      <c r="H12" s="140"/>
      <c r="I12" s="141">
        <f t="shared" si="0"/>
        <v>0</v>
      </c>
      <c r="J12" s="142">
        <f t="shared" si="1"/>
        <v>0</v>
      </c>
      <c r="K12" s="143">
        <f t="shared" si="2"/>
        <v>0</v>
      </c>
      <c r="L12" s="70"/>
      <c r="M12" s="70"/>
      <c r="N12" s="70"/>
      <c r="O12" s="70"/>
      <c r="P12" s="70"/>
      <c r="Q12" s="70"/>
      <c r="R12" s="70"/>
      <c r="S12" s="70"/>
    </row>
    <row r="13" spans="1:19" ht="16" customHeight="1" x14ac:dyDescent="0.2">
      <c r="A13" s="145"/>
      <c r="B13" s="147"/>
      <c r="C13" s="146"/>
      <c r="D13" s="146"/>
      <c r="E13" s="140"/>
      <c r="F13" s="147"/>
      <c r="G13" s="139"/>
      <c r="H13" s="140"/>
      <c r="I13" s="141">
        <f t="shared" si="0"/>
        <v>0</v>
      </c>
      <c r="J13" s="142">
        <f t="shared" si="1"/>
        <v>0</v>
      </c>
      <c r="K13" s="143">
        <f t="shared" si="2"/>
        <v>0</v>
      </c>
      <c r="L13" s="70"/>
      <c r="M13" s="70"/>
      <c r="N13" s="70"/>
      <c r="O13" s="70"/>
      <c r="P13" s="70"/>
      <c r="Q13" s="70"/>
      <c r="R13" s="70"/>
      <c r="S13" s="70"/>
    </row>
    <row r="14" spans="1:19" ht="16" customHeight="1" x14ac:dyDescent="0.2">
      <c r="A14" s="145"/>
      <c r="B14" s="147"/>
      <c r="C14" s="146"/>
      <c r="D14" s="146"/>
      <c r="E14" s="140"/>
      <c r="F14" s="147"/>
      <c r="G14" s="139"/>
      <c r="H14" s="140"/>
      <c r="I14" s="141">
        <f t="shared" si="0"/>
        <v>0</v>
      </c>
      <c r="J14" s="142">
        <f t="shared" si="1"/>
        <v>0</v>
      </c>
      <c r="K14" s="143">
        <f t="shared" si="2"/>
        <v>0</v>
      </c>
      <c r="L14" s="70"/>
      <c r="M14" s="70"/>
      <c r="N14" s="70"/>
      <c r="O14" s="70"/>
      <c r="P14" s="70"/>
      <c r="Q14" s="70"/>
      <c r="R14" s="70"/>
      <c r="S14" s="70"/>
    </row>
    <row r="15" spans="1:19" ht="16" customHeight="1" x14ac:dyDescent="0.2">
      <c r="A15" s="145"/>
      <c r="B15" s="147"/>
      <c r="C15" s="146"/>
      <c r="D15" s="146"/>
      <c r="E15" s="140"/>
      <c r="F15" s="147"/>
      <c r="G15" s="139"/>
      <c r="H15" s="140"/>
      <c r="I15" s="141">
        <f t="shared" si="0"/>
        <v>0</v>
      </c>
      <c r="J15" s="142">
        <f t="shared" si="1"/>
        <v>0</v>
      </c>
      <c r="K15" s="143">
        <f t="shared" si="2"/>
        <v>0</v>
      </c>
      <c r="L15" s="70"/>
      <c r="M15" s="70"/>
      <c r="N15" s="70"/>
      <c r="O15" s="70"/>
      <c r="P15" s="70"/>
      <c r="Q15" s="70"/>
      <c r="R15" s="70"/>
      <c r="S15" s="70"/>
    </row>
    <row r="16" spans="1:19" ht="16" customHeight="1" x14ac:dyDescent="0.2">
      <c r="A16" s="145"/>
      <c r="B16" s="147"/>
      <c r="C16" s="146"/>
      <c r="D16" s="146"/>
      <c r="E16" s="140"/>
      <c r="F16" s="147"/>
      <c r="G16" s="139"/>
      <c r="H16" s="140"/>
      <c r="I16" s="141">
        <f t="shared" si="0"/>
        <v>0</v>
      </c>
      <c r="J16" s="142">
        <f t="shared" si="1"/>
        <v>0</v>
      </c>
      <c r="K16" s="143">
        <f t="shared" si="2"/>
        <v>0</v>
      </c>
      <c r="L16" s="70"/>
      <c r="M16" s="70"/>
      <c r="N16" s="70"/>
      <c r="O16" s="70"/>
      <c r="P16" s="70"/>
      <c r="Q16" s="70"/>
      <c r="R16" s="70"/>
      <c r="S16" s="70"/>
    </row>
    <row r="17" spans="1:19" ht="16" customHeight="1" x14ac:dyDescent="0.2">
      <c r="A17" s="145"/>
      <c r="B17" s="147"/>
      <c r="C17" s="146"/>
      <c r="D17" s="146"/>
      <c r="E17" s="140"/>
      <c r="F17" s="147"/>
      <c r="G17" s="139"/>
      <c r="H17" s="140"/>
      <c r="I17" s="141">
        <f t="shared" si="0"/>
        <v>0</v>
      </c>
      <c r="J17" s="142">
        <f t="shared" si="1"/>
        <v>0</v>
      </c>
      <c r="K17" s="143">
        <f t="shared" si="2"/>
        <v>0</v>
      </c>
      <c r="L17" s="70"/>
      <c r="M17" s="70"/>
      <c r="N17" s="70"/>
      <c r="O17" s="70"/>
      <c r="P17" s="70"/>
      <c r="Q17" s="70"/>
      <c r="R17" s="70"/>
      <c r="S17" s="70"/>
    </row>
    <row r="18" spans="1:19" ht="16" customHeight="1" x14ac:dyDescent="0.2">
      <c r="A18" s="145"/>
      <c r="B18" s="147"/>
      <c r="C18" s="146"/>
      <c r="D18" s="146"/>
      <c r="E18" s="140"/>
      <c r="F18" s="147"/>
      <c r="G18" s="139"/>
      <c r="H18" s="140"/>
      <c r="I18" s="141">
        <f t="shared" si="0"/>
        <v>0</v>
      </c>
      <c r="J18" s="142">
        <f t="shared" si="1"/>
        <v>0</v>
      </c>
      <c r="K18" s="143">
        <f t="shared" si="2"/>
        <v>0</v>
      </c>
      <c r="L18" s="70"/>
      <c r="M18" s="70"/>
      <c r="N18" s="70"/>
      <c r="O18" s="70"/>
      <c r="P18" s="70"/>
      <c r="Q18" s="70"/>
      <c r="R18" s="70"/>
      <c r="S18" s="70"/>
    </row>
    <row r="19" spans="1:19" ht="16" customHeight="1" x14ac:dyDescent="0.2">
      <c r="A19" s="145"/>
      <c r="B19" s="147"/>
      <c r="C19" s="146"/>
      <c r="D19" s="146"/>
      <c r="E19" s="140"/>
      <c r="F19" s="147"/>
      <c r="G19" s="139"/>
      <c r="H19" s="140"/>
      <c r="I19" s="141">
        <f t="shared" si="0"/>
        <v>0</v>
      </c>
      <c r="J19" s="142">
        <f t="shared" si="1"/>
        <v>0</v>
      </c>
      <c r="K19" s="143">
        <f t="shared" si="2"/>
        <v>0</v>
      </c>
      <c r="L19" s="70"/>
      <c r="M19" s="70"/>
      <c r="N19" s="70"/>
      <c r="O19" s="70"/>
      <c r="P19" s="70"/>
      <c r="Q19" s="70"/>
      <c r="R19" s="70"/>
      <c r="S19" s="70"/>
    </row>
    <row r="20" spans="1:19" ht="16" customHeight="1" x14ac:dyDescent="0.2">
      <c r="A20" s="145"/>
      <c r="B20" s="147"/>
      <c r="C20" s="146"/>
      <c r="D20" s="146"/>
      <c r="E20" s="140"/>
      <c r="F20" s="147"/>
      <c r="G20" s="139"/>
      <c r="H20" s="140"/>
      <c r="I20" s="141">
        <f t="shared" si="0"/>
        <v>0</v>
      </c>
      <c r="J20" s="142">
        <f t="shared" si="1"/>
        <v>0</v>
      </c>
      <c r="K20" s="143">
        <f t="shared" si="2"/>
        <v>0</v>
      </c>
      <c r="L20" s="70"/>
      <c r="M20" s="70"/>
      <c r="N20" s="70"/>
      <c r="O20" s="70"/>
      <c r="P20" s="70"/>
      <c r="Q20" s="70"/>
      <c r="R20" s="70"/>
      <c r="S20" s="70"/>
    </row>
    <row r="21" spans="1:19" ht="16" customHeight="1" x14ac:dyDescent="0.2">
      <c r="A21" s="145"/>
      <c r="B21" s="147"/>
      <c r="C21" s="146"/>
      <c r="D21" s="146"/>
      <c r="E21" s="140"/>
      <c r="F21" s="147"/>
      <c r="G21" s="139"/>
      <c r="H21" s="140"/>
      <c r="I21" s="141">
        <f t="shared" si="0"/>
        <v>0</v>
      </c>
      <c r="J21" s="142">
        <f t="shared" si="1"/>
        <v>0</v>
      </c>
      <c r="K21" s="143">
        <f t="shared" si="2"/>
        <v>0</v>
      </c>
      <c r="L21" s="70"/>
      <c r="M21" s="70"/>
      <c r="N21" s="70"/>
      <c r="O21" s="70"/>
      <c r="P21" s="70"/>
      <c r="Q21" s="70"/>
      <c r="R21" s="70"/>
      <c r="S21" s="70"/>
    </row>
    <row r="22" spans="1:19" ht="16" customHeight="1" x14ac:dyDescent="0.2">
      <c r="A22" s="145"/>
      <c r="B22" s="147"/>
      <c r="C22" s="146"/>
      <c r="D22" s="146"/>
      <c r="E22" s="140"/>
      <c r="F22" s="147"/>
      <c r="G22" s="139"/>
      <c r="H22" s="140"/>
      <c r="I22" s="141">
        <f t="shared" si="0"/>
        <v>0</v>
      </c>
      <c r="J22" s="142">
        <f t="shared" si="1"/>
        <v>0</v>
      </c>
      <c r="K22" s="143">
        <f t="shared" si="2"/>
        <v>0</v>
      </c>
      <c r="L22" s="70"/>
      <c r="M22" s="70"/>
      <c r="N22" s="70"/>
      <c r="O22" s="70"/>
      <c r="P22" s="70"/>
      <c r="Q22" s="70"/>
      <c r="R22" s="70"/>
      <c r="S22" s="70"/>
    </row>
    <row r="23" spans="1:19" ht="16" customHeight="1" x14ac:dyDescent="0.2">
      <c r="A23" s="145"/>
      <c r="B23" s="147"/>
      <c r="C23" s="146"/>
      <c r="D23" s="146"/>
      <c r="E23" s="140"/>
      <c r="F23" s="147"/>
      <c r="G23" s="139"/>
      <c r="H23" s="140"/>
      <c r="I23" s="141">
        <f t="shared" si="0"/>
        <v>0</v>
      </c>
      <c r="J23" s="142">
        <f t="shared" si="1"/>
        <v>0</v>
      </c>
      <c r="K23" s="143">
        <f t="shared" si="2"/>
        <v>0</v>
      </c>
      <c r="L23" s="70"/>
      <c r="M23" s="70"/>
      <c r="N23" s="70"/>
      <c r="O23" s="70"/>
      <c r="P23" s="70"/>
      <c r="Q23" s="70"/>
      <c r="R23" s="70"/>
      <c r="S23" s="70"/>
    </row>
    <row r="24" spans="1:19" ht="16" customHeight="1" x14ac:dyDescent="0.2">
      <c r="A24" s="145"/>
      <c r="B24" s="147"/>
      <c r="C24" s="146"/>
      <c r="D24" s="146"/>
      <c r="E24" s="140"/>
      <c r="F24" s="147"/>
      <c r="G24" s="139"/>
      <c r="H24" s="140"/>
      <c r="I24" s="141">
        <f t="shared" si="0"/>
        <v>0</v>
      </c>
      <c r="J24" s="142">
        <f t="shared" si="1"/>
        <v>0</v>
      </c>
      <c r="K24" s="143">
        <f t="shared" si="2"/>
        <v>0</v>
      </c>
      <c r="L24" s="70"/>
      <c r="M24" s="70"/>
      <c r="N24" s="70"/>
      <c r="O24" s="70"/>
      <c r="P24" s="70"/>
      <c r="Q24" s="70"/>
      <c r="R24" s="70"/>
      <c r="S24" s="70"/>
    </row>
    <row r="25" spans="1:19" ht="16" customHeight="1" x14ac:dyDescent="0.2">
      <c r="A25" s="145"/>
      <c r="B25" s="147"/>
      <c r="C25" s="146"/>
      <c r="D25" s="146"/>
      <c r="E25" s="140"/>
      <c r="F25" s="147"/>
      <c r="G25" s="139"/>
      <c r="H25" s="140"/>
      <c r="I25" s="141">
        <f t="shared" si="0"/>
        <v>0</v>
      </c>
      <c r="J25" s="142">
        <f t="shared" si="1"/>
        <v>0</v>
      </c>
      <c r="K25" s="143">
        <f t="shared" si="2"/>
        <v>0</v>
      </c>
      <c r="L25" s="70"/>
      <c r="M25" s="70"/>
      <c r="N25" s="70"/>
      <c r="O25" s="70"/>
      <c r="P25" s="70"/>
      <c r="Q25" s="70"/>
      <c r="R25" s="70"/>
      <c r="S25" s="70"/>
    </row>
    <row r="26" spans="1:19" ht="16" customHeight="1" x14ac:dyDescent="0.2">
      <c r="A26" s="145"/>
      <c r="B26" s="147"/>
      <c r="C26" s="146"/>
      <c r="D26" s="146"/>
      <c r="E26" s="140"/>
      <c r="F26" s="147"/>
      <c r="G26" s="139"/>
      <c r="H26" s="140"/>
      <c r="I26" s="141">
        <f t="shared" si="0"/>
        <v>0</v>
      </c>
      <c r="J26" s="142">
        <f t="shared" si="1"/>
        <v>0</v>
      </c>
      <c r="K26" s="143">
        <f t="shared" si="2"/>
        <v>0</v>
      </c>
      <c r="L26" s="70"/>
      <c r="M26" s="70"/>
      <c r="N26" s="70"/>
      <c r="O26" s="70"/>
      <c r="P26" s="70"/>
      <c r="Q26" s="70"/>
      <c r="R26" s="70"/>
      <c r="S26" s="70"/>
    </row>
    <row r="27" spans="1:19" ht="16" customHeight="1" x14ac:dyDescent="0.2">
      <c r="A27" s="145"/>
      <c r="B27" s="147"/>
      <c r="C27" s="146"/>
      <c r="D27" s="146"/>
      <c r="E27" s="140"/>
      <c r="F27" s="147"/>
      <c r="G27" s="139"/>
      <c r="H27" s="140"/>
      <c r="I27" s="141">
        <f t="shared" si="0"/>
        <v>0</v>
      </c>
      <c r="J27" s="142">
        <f t="shared" si="1"/>
        <v>0</v>
      </c>
      <c r="K27" s="143">
        <f t="shared" si="2"/>
        <v>0</v>
      </c>
      <c r="L27" s="70"/>
      <c r="M27" s="70"/>
      <c r="N27" s="70"/>
      <c r="O27" s="70"/>
      <c r="P27" s="70"/>
      <c r="Q27" s="70"/>
      <c r="R27" s="70"/>
      <c r="S27" s="70"/>
    </row>
    <row r="28" spans="1:19" ht="16" customHeight="1" x14ac:dyDescent="0.2">
      <c r="A28" s="145"/>
      <c r="B28" s="147"/>
      <c r="C28" s="146"/>
      <c r="D28" s="146"/>
      <c r="E28" s="140"/>
      <c r="F28" s="147"/>
      <c r="G28" s="139"/>
      <c r="H28" s="140"/>
      <c r="I28" s="141">
        <f t="shared" si="0"/>
        <v>0</v>
      </c>
      <c r="J28" s="142">
        <f t="shared" si="1"/>
        <v>0</v>
      </c>
      <c r="K28" s="143">
        <f t="shared" si="2"/>
        <v>0</v>
      </c>
      <c r="L28" s="70"/>
      <c r="M28" s="70"/>
      <c r="N28" s="70"/>
      <c r="O28" s="70"/>
      <c r="P28" s="70"/>
      <c r="Q28" s="70"/>
      <c r="R28" s="70"/>
      <c r="S28" s="70"/>
    </row>
    <row r="29" spans="1:19" ht="16" customHeight="1" x14ac:dyDescent="0.2">
      <c r="A29" s="145"/>
      <c r="B29" s="147"/>
      <c r="C29" s="146"/>
      <c r="D29" s="146"/>
      <c r="E29" s="140"/>
      <c r="F29" s="147"/>
      <c r="G29" s="139"/>
      <c r="H29" s="140"/>
      <c r="I29" s="141">
        <f t="shared" si="0"/>
        <v>0</v>
      </c>
      <c r="J29" s="142">
        <f t="shared" si="1"/>
        <v>0</v>
      </c>
      <c r="K29" s="143">
        <f t="shared" si="2"/>
        <v>0</v>
      </c>
      <c r="L29" s="70"/>
      <c r="M29" s="70"/>
      <c r="N29" s="70"/>
      <c r="O29" s="70"/>
      <c r="P29" s="70"/>
      <c r="Q29" s="70"/>
      <c r="R29" s="70"/>
      <c r="S29" s="70"/>
    </row>
    <row r="30" spans="1:19" ht="16" customHeight="1" x14ac:dyDescent="0.2">
      <c r="A30" s="145"/>
      <c r="B30" s="147"/>
      <c r="C30" s="146"/>
      <c r="D30" s="146"/>
      <c r="E30" s="140"/>
      <c r="F30" s="147"/>
      <c r="G30" s="139"/>
      <c r="H30" s="140"/>
      <c r="I30" s="141">
        <f t="shared" si="0"/>
        <v>0</v>
      </c>
      <c r="J30" s="142">
        <f t="shared" si="1"/>
        <v>0</v>
      </c>
      <c r="K30" s="143">
        <f t="shared" si="2"/>
        <v>0</v>
      </c>
      <c r="L30" s="70"/>
      <c r="M30" s="70"/>
      <c r="N30" s="70"/>
      <c r="O30" s="70"/>
      <c r="P30" s="70"/>
      <c r="Q30" s="70"/>
      <c r="R30" s="70"/>
      <c r="S30" s="70"/>
    </row>
    <row r="31" spans="1:19" ht="16" customHeight="1" x14ac:dyDescent="0.2">
      <c r="A31" s="145"/>
      <c r="B31" s="147"/>
      <c r="C31" s="146"/>
      <c r="D31" s="146"/>
      <c r="E31" s="140"/>
      <c r="F31" s="147"/>
      <c r="G31" s="139"/>
      <c r="H31" s="140"/>
      <c r="I31" s="141">
        <f t="shared" si="0"/>
        <v>0</v>
      </c>
      <c r="J31" s="142">
        <f t="shared" si="1"/>
        <v>0</v>
      </c>
      <c r="K31" s="143">
        <f t="shared" si="2"/>
        <v>0</v>
      </c>
      <c r="L31" s="70"/>
      <c r="M31" s="70"/>
      <c r="N31" s="70"/>
      <c r="O31" s="70"/>
      <c r="P31" s="70"/>
      <c r="Q31" s="70"/>
      <c r="R31" s="70"/>
      <c r="S31" s="70"/>
    </row>
    <row r="32" spans="1:19" ht="16" customHeight="1" x14ac:dyDescent="0.2">
      <c r="A32" s="145"/>
      <c r="B32" s="147"/>
      <c r="C32" s="146"/>
      <c r="D32" s="146"/>
      <c r="E32" s="140"/>
      <c r="F32" s="147"/>
      <c r="G32" s="139"/>
      <c r="H32" s="140"/>
      <c r="I32" s="141">
        <f t="shared" si="0"/>
        <v>0</v>
      </c>
      <c r="J32" s="142">
        <f t="shared" si="1"/>
        <v>0</v>
      </c>
      <c r="K32" s="143">
        <f t="shared" si="2"/>
        <v>0</v>
      </c>
      <c r="L32" s="70"/>
      <c r="M32" s="70"/>
      <c r="N32" s="70"/>
      <c r="O32" s="70"/>
      <c r="P32" s="70"/>
      <c r="Q32" s="70"/>
      <c r="R32" s="70"/>
      <c r="S32" s="70"/>
    </row>
    <row r="33" spans="1:19" ht="16" customHeight="1" x14ac:dyDescent="0.2">
      <c r="A33" s="145"/>
      <c r="B33" s="147"/>
      <c r="C33" s="146"/>
      <c r="D33" s="146"/>
      <c r="E33" s="140"/>
      <c r="F33" s="147"/>
      <c r="G33" s="139"/>
      <c r="H33" s="140"/>
      <c r="I33" s="141">
        <f t="shared" si="0"/>
        <v>0</v>
      </c>
      <c r="J33" s="142">
        <f t="shared" si="1"/>
        <v>0</v>
      </c>
      <c r="K33" s="143">
        <f t="shared" si="2"/>
        <v>0</v>
      </c>
      <c r="L33" s="70"/>
      <c r="M33" s="70"/>
      <c r="N33" s="70"/>
      <c r="O33" s="70"/>
      <c r="P33" s="70"/>
      <c r="Q33" s="70"/>
      <c r="R33" s="70"/>
      <c r="S33" s="70"/>
    </row>
    <row r="34" spans="1:19" ht="16" customHeight="1" x14ac:dyDescent="0.2">
      <c r="A34" s="145"/>
      <c r="B34" s="147"/>
      <c r="C34" s="146"/>
      <c r="D34" s="146"/>
      <c r="E34" s="140"/>
      <c r="F34" s="147"/>
      <c r="G34" s="139"/>
      <c r="H34" s="140"/>
      <c r="I34" s="141">
        <f t="shared" si="0"/>
        <v>0</v>
      </c>
      <c r="J34" s="142">
        <f t="shared" si="1"/>
        <v>0</v>
      </c>
      <c r="K34" s="143">
        <f t="shared" si="2"/>
        <v>0</v>
      </c>
      <c r="L34" s="70"/>
      <c r="M34" s="70"/>
      <c r="N34" s="70"/>
      <c r="O34" s="70"/>
      <c r="P34" s="70"/>
      <c r="Q34" s="70"/>
      <c r="R34" s="70"/>
      <c r="S34" s="70"/>
    </row>
    <row r="35" spans="1:19" ht="16" customHeight="1" x14ac:dyDescent="0.2">
      <c r="A35" s="145"/>
      <c r="B35" s="147"/>
      <c r="C35" s="146"/>
      <c r="D35" s="146"/>
      <c r="E35" s="140"/>
      <c r="F35" s="147"/>
      <c r="G35" s="139"/>
      <c r="H35" s="140"/>
      <c r="I35" s="141">
        <f t="shared" si="0"/>
        <v>0</v>
      </c>
      <c r="J35" s="142">
        <f t="shared" si="1"/>
        <v>0</v>
      </c>
      <c r="K35" s="143">
        <f t="shared" si="2"/>
        <v>0</v>
      </c>
      <c r="L35" s="70"/>
      <c r="M35" s="70"/>
      <c r="N35" s="70"/>
      <c r="O35" s="70"/>
      <c r="P35" s="70"/>
      <c r="Q35" s="70"/>
      <c r="R35" s="70"/>
      <c r="S35" s="70"/>
    </row>
    <row r="36" spans="1:19" ht="23.5" customHeight="1" x14ac:dyDescent="0.25">
      <c r="A36" s="155"/>
      <c r="B36" s="149" t="s">
        <v>108</v>
      </c>
      <c r="C36" s="150"/>
      <c r="D36" s="150"/>
      <c r="E36" s="151">
        <f>SUM(E6:E35)</f>
        <v>0</v>
      </c>
      <c r="F36" s="152"/>
      <c r="G36" s="152"/>
      <c r="H36" s="151">
        <f>SUM(H6:H35)</f>
        <v>0</v>
      </c>
      <c r="I36" s="153"/>
      <c r="J36" s="151">
        <f>SUM(J6:J35)</f>
        <v>0</v>
      </c>
      <c r="K36" s="156">
        <f>SUM(K6:K35)</f>
        <v>0</v>
      </c>
      <c r="L36" s="70"/>
      <c r="M36" s="70"/>
      <c r="N36" s="70"/>
      <c r="O36" s="70"/>
      <c r="P36" s="70"/>
      <c r="Q36" s="70"/>
      <c r="R36" s="70"/>
      <c r="S36" s="70"/>
    </row>
    <row r="37" spans="1:19" x14ac:dyDescent="0.15">
      <c r="A37" s="157"/>
      <c r="B37" s="70"/>
      <c r="C37" s="158"/>
      <c r="D37" s="158"/>
      <c r="E37" s="70"/>
      <c r="F37" s="70"/>
      <c r="G37" s="70"/>
      <c r="H37" s="70"/>
      <c r="I37" s="70"/>
      <c r="J37" s="70"/>
      <c r="K37" s="70"/>
      <c r="L37" s="70"/>
      <c r="M37" s="70"/>
      <c r="N37" s="70"/>
      <c r="O37" s="70"/>
      <c r="P37" s="70"/>
      <c r="Q37" s="70"/>
      <c r="R37" s="70"/>
      <c r="S37" s="70"/>
    </row>
    <row r="38" spans="1:19" x14ac:dyDescent="0.15">
      <c r="A38" s="157"/>
      <c r="B38" s="70"/>
      <c r="C38" s="158"/>
      <c r="D38" s="158"/>
      <c r="E38" s="70"/>
      <c r="F38" s="70"/>
      <c r="G38" s="70"/>
      <c r="H38" s="70"/>
      <c r="I38" s="70"/>
      <c r="J38" s="70"/>
      <c r="K38" s="70"/>
      <c r="L38" s="70"/>
      <c r="M38" s="70"/>
      <c r="N38" s="70"/>
      <c r="O38" s="70"/>
      <c r="P38" s="70"/>
      <c r="Q38" s="70"/>
      <c r="R38" s="70"/>
      <c r="S38" s="70"/>
    </row>
    <row r="39" spans="1:19" ht="16.75" customHeight="1" x14ac:dyDescent="0.15">
      <c r="A39" s="157"/>
      <c r="B39" s="70"/>
      <c r="C39" s="158"/>
      <c r="D39" s="158"/>
      <c r="E39" s="70"/>
      <c r="F39" s="70"/>
      <c r="G39" s="70"/>
      <c r="H39" s="70"/>
      <c r="I39" s="70"/>
      <c r="J39" s="70"/>
      <c r="K39" s="70"/>
      <c r="L39" s="70"/>
      <c r="M39" s="70"/>
      <c r="N39" s="70"/>
      <c r="O39" s="70"/>
      <c r="P39" s="70"/>
      <c r="Q39" s="70"/>
      <c r="R39" s="70"/>
      <c r="S39" s="70"/>
    </row>
    <row r="40" spans="1:19" ht="16.75" customHeight="1" x14ac:dyDescent="0.15">
      <c r="A40" s="157"/>
      <c r="B40" s="70"/>
      <c r="C40" s="158"/>
      <c r="D40" s="158"/>
      <c r="E40" s="70"/>
      <c r="F40" s="70"/>
      <c r="G40" s="70"/>
      <c r="H40" s="70"/>
      <c r="I40" s="70"/>
      <c r="J40" s="70"/>
      <c r="K40" s="70"/>
      <c r="L40" s="70"/>
      <c r="M40" s="70"/>
      <c r="N40" s="70"/>
      <c r="O40" s="70"/>
      <c r="P40" s="70"/>
      <c r="Q40" s="70"/>
      <c r="R40" s="70"/>
      <c r="S40" s="70"/>
    </row>
    <row r="41" spans="1:19" ht="16.75" customHeight="1" x14ac:dyDescent="0.15">
      <c r="A41" s="157"/>
      <c r="B41" s="70"/>
      <c r="C41" s="158"/>
      <c r="D41" s="158"/>
      <c r="E41" s="70"/>
      <c r="F41" s="70"/>
      <c r="G41" s="70"/>
      <c r="H41" s="70"/>
      <c r="I41" s="70"/>
      <c r="J41" s="70"/>
      <c r="K41" s="70"/>
      <c r="L41" s="70"/>
      <c r="M41" s="70"/>
      <c r="N41" s="70"/>
      <c r="O41" s="70"/>
      <c r="P41" s="70"/>
      <c r="Q41" s="70"/>
      <c r="R41" s="70"/>
      <c r="S41" s="70"/>
    </row>
    <row r="42" spans="1:19" ht="16.75" customHeight="1" x14ac:dyDescent="0.15">
      <c r="A42" s="157"/>
      <c r="B42" s="70"/>
      <c r="C42" s="158"/>
      <c r="D42" s="158"/>
      <c r="E42" s="70"/>
      <c r="F42" s="70"/>
      <c r="G42" s="70"/>
      <c r="H42" s="70"/>
      <c r="I42" s="70"/>
      <c r="J42" s="70"/>
      <c r="K42" s="70"/>
      <c r="L42" s="70"/>
      <c r="M42" s="70"/>
      <c r="N42" s="70"/>
      <c r="O42" s="70"/>
      <c r="P42" s="70"/>
      <c r="Q42" s="70"/>
      <c r="R42" s="70"/>
      <c r="S42" s="70"/>
    </row>
    <row r="43" spans="1:19" ht="16.75" customHeight="1" x14ac:dyDescent="0.15">
      <c r="A43" s="157"/>
      <c r="B43" s="70"/>
      <c r="C43" s="158"/>
      <c r="D43" s="158"/>
      <c r="E43" s="70"/>
      <c r="F43" s="70"/>
      <c r="G43" s="70"/>
      <c r="H43" s="70"/>
      <c r="I43" s="70"/>
      <c r="J43" s="70"/>
      <c r="K43" s="70"/>
      <c r="L43" s="70"/>
      <c r="M43" s="70"/>
      <c r="N43" s="70"/>
      <c r="O43" s="70"/>
      <c r="P43" s="70"/>
      <c r="Q43" s="70"/>
      <c r="R43" s="70"/>
      <c r="S43" s="70"/>
    </row>
    <row r="44" spans="1:19" ht="16.75" customHeight="1" x14ac:dyDescent="0.15">
      <c r="A44" s="157"/>
      <c r="B44" s="70"/>
      <c r="C44" s="158"/>
      <c r="D44" s="158"/>
      <c r="E44" s="70"/>
      <c r="F44" s="70"/>
      <c r="G44" s="70"/>
      <c r="H44" s="70"/>
      <c r="I44" s="70"/>
      <c r="J44" s="70"/>
      <c r="K44" s="70"/>
      <c r="L44" s="70"/>
      <c r="M44" s="70"/>
      <c r="N44" s="70"/>
      <c r="O44" s="70"/>
      <c r="P44" s="70"/>
      <c r="Q44" s="70"/>
      <c r="R44" s="70"/>
      <c r="S44" s="70"/>
    </row>
    <row r="45" spans="1:19" ht="16.75" customHeight="1" x14ac:dyDescent="0.15">
      <c r="A45" s="157"/>
      <c r="B45" s="70"/>
      <c r="C45" s="158"/>
      <c r="D45" s="158"/>
      <c r="E45" s="70"/>
      <c r="F45" s="70"/>
      <c r="G45" s="70"/>
      <c r="H45" s="70"/>
      <c r="I45" s="70"/>
      <c r="J45" s="70"/>
      <c r="K45" s="70"/>
      <c r="L45" s="70"/>
      <c r="M45" s="70"/>
      <c r="N45" s="70"/>
      <c r="O45" s="70"/>
      <c r="P45" s="70"/>
      <c r="Q45" s="70"/>
      <c r="R45" s="70"/>
      <c r="S45" s="70"/>
    </row>
    <row r="46" spans="1:19" ht="16.75" customHeight="1" x14ac:dyDescent="0.15">
      <c r="A46" s="157"/>
      <c r="B46" s="70"/>
      <c r="C46" s="158"/>
      <c r="D46" s="158"/>
      <c r="E46" s="70"/>
      <c r="F46" s="70"/>
      <c r="G46" s="70"/>
      <c r="H46" s="70"/>
      <c r="I46" s="70"/>
      <c r="J46" s="70"/>
      <c r="K46" s="70"/>
      <c r="L46" s="70"/>
      <c r="M46" s="70"/>
      <c r="N46" s="70"/>
      <c r="O46" s="70"/>
      <c r="P46" s="70"/>
      <c r="Q46" s="70"/>
      <c r="R46" s="70"/>
      <c r="S46" s="70"/>
    </row>
    <row r="47" spans="1:19" ht="16.75" customHeight="1" x14ac:dyDescent="0.15">
      <c r="A47" s="157"/>
      <c r="B47" s="70"/>
      <c r="C47" s="158"/>
      <c r="D47" s="158"/>
      <c r="E47" s="70"/>
      <c r="F47" s="70"/>
      <c r="G47" s="70"/>
      <c r="H47" s="70"/>
      <c r="I47" s="70"/>
      <c r="J47" s="70"/>
      <c r="K47" s="70"/>
      <c r="L47" s="70"/>
      <c r="M47" s="70"/>
      <c r="N47" s="70"/>
      <c r="O47" s="70"/>
      <c r="P47" s="70"/>
      <c r="Q47" s="70"/>
      <c r="R47" s="70"/>
      <c r="S47" s="70"/>
    </row>
    <row r="48" spans="1:19" ht="16.5" customHeight="1" x14ac:dyDescent="0.15">
      <c r="A48" s="157"/>
      <c r="B48" s="70"/>
      <c r="C48" s="158"/>
      <c r="D48" s="158"/>
      <c r="E48" s="70"/>
      <c r="F48" s="70"/>
      <c r="G48" s="70"/>
      <c r="H48" s="70"/>
      <c r="I48" s="70"/>
      <c r="J48" s="70"/>
      <c r="K48" s="70"/>
      <c r="L48" s="70"/>
      <c r="M48" s="70"/>
      <c r="N48" s="70"/>
      <c r="O48" s="70"/>
      <c r="P48" s="70"/>
      <c r="Q48" s="70"/>
      <c r="R48" s="70"/>
      <c r="S48" s="70"/>
    </row>
    <row r="49" spans="1:19" ht="16.75" customHeight="1" x14ac:dyDescent="0.15">
      <c r="A49" s="157"/>
      <c r="B49" s="70"/>
      <c r="C49" s="158"/>
      <c r="D49" s="158"/>
      <c r="E49" s="70"/>
      <c r="F49" s="70"/>
      <c r="G49" s="70"/>
      <c r="H49" s="70"/>
      <c r="I49" s="70"/>
      <c r="J49" s="70"/>
      <c r="K49" s="70"/>
      <c r="L49" s="70"/>
      <c r="M49" s="70"/>
      <c r="N49" s="70"/>
      <c r="O49" s="70"/>
      <c r="P49" s="70"/>
      <c r="Q49" s="70"/>
      <c r="R49" s="70"/>
      <c r="S49" s="70"/>
    </row>
    <row r="50" spans="1:19" ht="16.75" customHeight="1" x14ac:dyDescent="0.15">
      <c r="A50" s="157"/>
      <c r="B50" s="70"/>
      <c r="C50" s="158"/>
      <c r="D50" s="158"/>
      <c r="E50" s="70"/>
      <c r="F50" s="70"/>
      <c r="G50" s="70"/>
      <c r="H50" s="70"/>
      <c r="I50" s="70"/>
      <c r="J50" s="70"/>
      <c r="K50" s="70"/>
      <c r="L50" s="70"/>
      <c r="M50" s="70"/>
      <c r="N50" s="70"/>
      <c r="O50" s="70"/>
      <c r="P50" s="70"/>
      <c r="Q50" s="70"/>
      <c r="R50" s="70"/>
      <c r="S50" s="70"/>
    </row>
    <row r="51" spans="1:19" ht="16.75" customHeight="1" x14ac:dyDescent="0.15">
      <c r="A51" s="157"/>
      <c r="B51" s="70"/>
      <c r="C51" s="158"/>
      <c r="D51" s="158"/>
      <c r="E51" s="70"/>
      <c r="F51" s="70"/>
      <c r="G51" s="70"/>
      <c r="H51" s="70"/>
      <c r="I51" s="70"/>
      <c r="J51" s="70"/>
      <c r="K51" s="70"/>
      <c r="L51" s="70"/>
      <c r="M51" s="70"/>
      <c r="N51" s="70"/>
      <c r="O51" s="70"/>
      <c r="P51" s="70"/>
      <c r="Q51" s="70"/>
      <c r="R51" s="70"/>
      <c r="S51" s="70"/>
    </row>
    <row r="52" spans="1:19" ht="16.75" customHeight="1" x14ac:dyDescent="0.15">
      <c r="A52" s="157"/>
      <c r="B52" s="70"/>
      <c r="C52" s="158"/>
      <c r="D52" s="158"/>
      <c r="E52" s="70"/>
      <c r="F52" s="70"/>
      <c r="G52" s="70"/>
      <c r="H52" s="70"/>
      <c r="I52" s="70"/>
      <c r="J52" s="70"/>
      <c r="K52" s="70"/>
      <c r="L52" s="70"/>
      <c r="M52" s="70"/>
      <c r="N52" s="70"/>
      <c r="O52" s="70"/>
      <c r="P52" s="70"/>
      <c r="Q52" s="70"/>
      <c r="R52" s="70"/>
      <c r="S52" s="70"/>
    </row>
    <row r="53" spans="1:19" ht="16.75" customHeight="1" x14ac:dyDescent="0.15">
      <c r="A53" s="157"/>
      <c r="B53" s="70"/>
      <c r="C53" s="158"/>
      <c r="D53" s="158"/>
      <c r="E53" s="70"/>
      <c r="F53" s="70"/>
      <c r="G53" s="70"/>
      <c r="H53" s="70"/>
      <c r="I53" s="70"/>
      <c r="J53" s="70"/>
      <c r="K53" s="70"/>
      <c r="L53" s="70"/>
      <c r="M53" s="70"/>
      <c r="N53" s="70"/>
      <c r="O53" s="70"/>
      <c r="P53" s="70"/>
      <c r="Q53" s="70"/>
      <c r="R53" s="70"/>
      <c r="S53" s="70"/>
    </row>
    <row r="54" spans="1:19" ht="16.75" customHeight="1" x14ac:dyDescent="0.15">
      <c r="A54" s="157"/>
      <c r="B54" s="70"/>
      <c r="C54" s="158"/>
      <c r="D54" s="158"/>
      <c r="E54" s="70"/>
      <c r="F54" s="70"/>
      <c r="G54" s="70"/>
      <c r="H54" s="70"/>
      <c r="I54" s="70"/>
      <c r="J54" s="70"/>
      <c r="K54" s="70"/>
      <c r="L54" s="70"/>
      <c r="M54" s="70"/>
      <c r="N54" s="70"/>
      <c r="O54" s="70"/>
      <c r="P54" s="70"/>
      <c r="Q54" s="70"/>
      <c r="R54" s="70"/>
      <c r="S54" s="70"/>
    </row>
    <row r="55" spans="1:19" ht="16.75" customHeight="1" x14ac:dyDescent="0.15">
      <c r="A55" s="157"/>
      <c r="B55" s="70"/>
      <c r="C55" s="158"/>
      <c r="D55" s="158"/>
      <c r="E55" s="70"/>
      <c r="F55" s="70"/>
      <c r="G55" s="70"/>
      <c r="H55" s="70"/>
      <c r="I55" s="70"/>
      <c r="J55" s="70"/>
      <c r="K55" s="70"/>
      <c r="L55" s="70"/>
      <c r="M55" s="70"/>
      <c r="N55" s="70"/>
      <c r="O55" s="70"/>
      <c r="P55" s="70"/>
      <c r="Q55" s="70"/>
      <c r="R55" s="70"/>
      <c r="S55" s="70"/>
    </row>
    <row r="56" spans="1:19" ht="16.75" customHeight="1" x14ac:dyDescent="0.15">
      <c r="A56" s="157"/>
      <c r="B56" s="70"/>
      <c r="C56" s="158"/>
      <c r="D56" s="158"/>
      <c r="E56" s="70"/>
      <c r="F56" s="70"/>
      <c r="G56" s="70"/>
      <c r="H56" s="70"/>
      <c r="I56" s="70"/>
      <c r="J56" s="70"/>
      <c r="K56" s="70"/>
      <c r="L56" s="70"/>
      <c r="M56" s="70"/>
      <c r="N56" s="70"/>
      <c r="O56" s="70"/>
      <c r="P56" s="70"/>
      <c r="Q56" s="70"/>
      <c r="R56" s="70"/>
      <c r="S56" s="70"/>
    </row>
    <row r="57" spans="1:19" ht="16.75" customHeight="1" x14ac:dyDescent="0.15">
      <c r="A57" s="157"/>
      <c r="B57" s="70"/>
      <c r="C57" s="158"/>
      <c r="D57" s="158"/>
      <c r="E57" s="70"/>
      <c r="F57" s="70"/>
      <c r="G57" s="70"/>
      <c r="H57" s="70"/>
      <c r="I57" s="70"/>
      <c r="J57" s="70"/>
      <c r="K57" s="70"/>
      <c r="L57" s="70"/>
      <c r="M57" s="70"/>
      <c r="N57" s="70"/>
      <c r="O57" s="70"/>
      <c r="P57" s="70"/>
      <c r="Q57" s="70"/>
      <c r="R57" s="70"/>
      <c r="S57" s="70"/>
    </row>
    <row r="58" spans="1:19" ht="16.75" customHeight="1" x14ac:dyDescent="0.15">
      <c r="A58" s="157"/>
      <c r="B58" s="70"/>
      <c r="C58" s="158"/>
      <c r="D58" s="158"/>
      <c r="E58" s="70"/>
      <c r="F58" s="70"/>
      <c r="G58" s="70"/>
      <c r="H58" s="70"/>
      <c r="I58" s="70"/>
      <c r="J58" s="70"/>
      <c r="K58" s="70"/>
      <c r="L58" s="70"/>
      <c r="M58" s="70"/>
      <c r="N58" s="70"/>
      <c r="O58" s="70"/>
      <c r="P58" s="70"/>
      <c r="Q58" s="70"/>
      <c r="R58" s="70"/>
      <c r="S58" s="70"/>
    </row>
    <row r="59" spans="1:19" ht="16.75" customHeight="1" x14ac:dyDescent="0.15">
      <c r="A59" s="157"/>
      <c r="B59" s="70"/>
      <c r="C59" s="158"/>
      <c r="D59" s="158"/>
      <c r="E59" s="70"/>
      <c r="F59" s="70"/>
      <c r="G59" s="70"/>
      <c r="H59" s="70"/>
      <c r="I59" s="70"/>
      <c r="J59" s="70"/>
      <c r="K59" s="70"/>
      <c r="L59" s="70"/>
      <c r="M59" s="70"/>
      <c r="N59" s="70"/>
      <c r="O59" s="70"/>
      <c r="P59" s="70"/>
      <c r="Q59" s="70"/>
      <c r="R59" s="70"/>
      <c r="S59" s="70"/>
    </row>
    <row r="60" spans="1:19" ht="16.75" customHeight="1" x14ac:dyDescent="0.15">
      <c r="A60" s="157"/>
      <c r="B60" s="70"/>
      <c r="C60" s="158"/>
      <c r="D60" s="158"/>
      <c r="E60" s="70"/>
      <c r="F60" s="70"/>
      <c r="G60" s="70"/>
      <c r="H60" s="70"/>
      <c r="I60" s="70"/>
      <c r="J60" s="70"/>
      <c r="K60" s="70"/>
      <c r="L60" s="70"/>
      <c r="M60" s="70"/>
      <c r="N60" s="70"/>
      <c r="O60" s="70"/>
      <c r="P60" s="70"/>
      <c r="Q60" s="70"/>
      <c r="R60" s="70"/>
      <c r="S60" s="70"/>
    </row>
    <row r="61" spans="1:19" ht="16.75" customHeight="1" x14ac:dyDescent="0.15">
      <c r="A61" s="157"/>
      <c r="B61" s="70"/>
      <c r="C61" s="158"/>
      <c r="D61" s="158"/>
      <c r="E61" s="70"/>
      <c r="F61" s="70"/>
      <c r="G61" s="70"/>
      <c r="H61" s="70"/>
      <c r="I61" s="70"/>
      <c r="J61" s="70"/>
      <c r="K61" s="70"/>
      <c r="L61" s="70"/>
      <c r="M61" s="70"/>
      <c r="N61" s="70"/>
      <c r="O61" s="70"/>
      <c r="P61" s="70"/>
      <c r="Q61" s="70"/>
      <c r="R61" s="70"/>
      <c r="S61" s="70"/>
    </row>
    <row r="62" spans="1:19" ht="16.75" customHeight="1" x14ac:dyDescent="0.15">
      <c r="A62" s="157"/>
      <c r="B62" s="70"/>
      <c r="C62" s="158"/>
      <c r="D62" s="158"/>
      <c r="E62" s="70"/>
      <c r="F62" s="70"/>
      <c r="G62" s="70"/>
      <c r="H62" s="70"/>
      <c r="I62" s="70"/>
      <c r="J62" s="70"/>
      <c r="K62" s="70"/>
      <c r="L62" s="70"/>
      <c r="M62" s="70"/>
      <c r="N62" s="70"/>
      <c r="O62" s="70"/>
      <c r="P62" s="70"/>
      <c r="Q62" s="70"/>
      <c r="R62" s="70"/>
      <c r="S62" s="70"/>
    </row>
    <row r="63" spans="1:19" ht="16.75" customHeight="1" x14ac:dyDescent="0.15">
      <c r="A63" s="157"/>
      <c r="B63" s="70"/>
      <c r="C63" s="158"/>
      <c r="D63" s="158"/>
      <c r="E63" s="70"/>
      <c r="F63" s="70"/>
      <c r="G63" s="70"/>
      <c r="H63" s="70"/>
      <c r="I63" s="70"/>
      <c r="J63" s="70"/>
      <c r="K63" s="70"/>
      <c r="L63" s="70"/>
      <c r="M63" s="70"/>
      <c r="N63" s="70"/>
      <c r="O63" s="70"/>
      <c r="P63" s="70"/>
      <c r="Q63" s="70"/>
      <c r="R63" s="70"/>
      <c r="S63" s="70"/>
    </row>
    <row r="64" spans="1:19" ht="16.75" customHeight="1" x14ac:dyDescent="0.15">
      <c r="A64" s="157"/>
      <c r="B64" s="70"/>
      <c r="C64" s="158"/>
      <c r="D64" s="158"/>
      <c r="E64" s="70"/>
      <c r="F64" s="70"/>
      <c r="G64" s="70"/>
      <c r="H64" s="70"/>
      <c r="I64" s="70"/>
      <c r="J64" s="70"/>
      <c r="K64" s="70"/>
      <c r="L64" s="70"/>
      <c r="M64" s="70"/>
      <c r="N64" s="70"/>
      <c r="O64" s="70"/>
      <c r="P64" s="70"/>
      <c r="Q64" s="70"/>
      <c r="R64" s="70"/>
      <c r="S64" s="70"/>
    </row>
    <row r="65" spans="1:19" ht="16.75" customHeight="1" x14ac:dyDescent="0.15">
      <c r="A65" s="157"/>
      <c r="B65" s="70"/>
      <c r="C65" s="158"/>
      <c r="D65" s="158"/>
      <c r="E65" s="70"/>
      <c r="F65" s="70"/>
      <c r="G65" s="70"/>
      <c r="H65" s="70"/>
      <c r="I65" s="70"/>
      <c r="J65" s="70"/>
      <c r="K65" s="70"/>
      <c r="L65" s="70"/>
      <c r="M65" s="70"/>
      <c r="N65" s="70"/>
      <c r="O65" s="70"/>
      <c r="P65" s="70"/>
      <c r="Q65" s="70"/>
      <c r="R65" s="70"/>
      <c r="S65" s="70"/>
    </row>
    <row r="66" spans="1:19" ht="16.75" customHeight="1" x14ac:dyDescent="0.15">
      <c r="A66" s="157"/>
      <c r="B66" s="70"/>
      <c r="C66" s="158"/>
      <c r="D66" s="158"/>
      <c r="E66" s="70"/>
      <c r="F66" s="70"/>
      <c r="G66" s="70"/>
      <c r="H66" s="70"/>
      <c r="I66" s="70"/>
      <c r="J66" s="70"/>
      <c r="K66" s="70"/>
      <c r="L66" s="70"/>
      <c r="M66" s="70"/>
      <c r="N66" s="70"/>
      <c r="O66" s="70"/>
      <c r="P66" s="70"/>
      <c r="Q66" s="70"/>
      <c r="R66" s="70"/>
      <c r="S66" s="70"/>
    </row>
    <row r="67" spans="1:19" ht="16.75" customHeight="1" x14ac:dyDescent="0.15">
      <c r="A67" s="157"/>
      <c r="B67" s="70"/>
      <c r="C67" s="158"/>
      <c r="D67" s="158"/>
      <c r="E67" s="70"/>
      <c r="F67" s="70"/>
      <c r="G67" s="70"/>
      <c r="H67" s="70"/>
      <c r="I67" s="70"/>
      <c r="J67" s="70"/>
      <c r="K67" s="70"/>
      <c r="L67" s="70"/>
      <c r="M67" s="70"/>
      <c r="N67" s="70"/>
      <c r="O67" s="70"/>
      <c r="P67" s="70"/>
      <c r="Q67" s="70"/>
      <c r="R67" s="70"/>
      <c r="S67" s="70"/>
    </row>
    <row r="68" spans="1:19" ht="16.75" customHeight="1" x14ac:dyDescent="0.15">
      <c r="A68" s="157"/>
      <c r="B68" s="70"/>
      <c r="C68" s="158"/>
      <c r="D68" s="158"/>
      <c r="E68" s="70"/>
      <c r="F68" s="70"/>
      <c r="G68" s="70"/>
      <c r="H68" s="70"/>
      <c r="I68" s="70"/>
      <c r="J68" s="70"/>
      <c r="K68" s="70"/>
      <c r="L68" s="70"/>
      <c r="M68" s="70"/>
      <c r="N68" s="70"/>
      <c r="O68" s="70"/>
      <c r="P68" s="70"/>
      <c r="Q68" s="70"/>
      <c r="R68" s="70"/>
      <c r="S68" s="70"/>
    </row>
    <row r="69" spans="1:19" ht="16.75" customHeight="1" x14ac:dyDescent="0.15">
      <c r="A69" s="157"/>
      <c r="B69" s="70"/>
      <c r="C69" s="158"/>
      <c r="D69" s="158"/>
      <c r="E69" s="70"/>
      <c r="F69" s="70"/>
      <c r="G69" s="70"/>
      <c r="H69" s="70"/>
      <c r="I69" s="70"/>
      <c r="J69" s="70"/>
      <c r="K69" s="70"/>
      <c r="L69" s="70"/>
      <c r="M69" s="70"/>
      <c r="N69" s="70"/>
      <c r="O69" s="70"/>
      <c r="P69" s="70"/>
      <c r="Q69" s="70"/>
      <c r="R69" s="70"/>
      <c r="S69" s="70"/>
    </row>
    <row r="70" spans="1:19" ht="16.75" customHeight="1" x14ac:dyDescent="0.15">
      <c r="A70" s="157"/>
      <c r="B70" s="70"/>
      <c r="C70" s="158"/>
      <c r="D70" s="158"/>
      <c r="E70" s="70"/>
      <c r="F70" s="70"/>
      <c r="G70" s="70"/>
      <c r="H70" s="70"/>
      <c r="I70" s="70"/>
      <c r="J70" s="70"/>
      <c r="K70" s="70"/>
      <c r="L70" s="70"/>
      <c r="M70" s="70"/>
      <c r="N70" s="70"/>
      <c r="O70" s="70"/>
      <c r="P70" s="70"/>
      <c r="Q70" s="70"/>
      <c r="R70" s="70"/>
      <c r="S70" s="70"/>
    </row>
    <row r="71" spans="1:19" ht="16.75" customHeight="1" x14ac:dyDescent="0.15">
      <c r="A71" s="157"/>
      <c r="B71" s="70"/>
      <c r="C71" s="158"/>
      <c r="D71" s="158"/>
      <c r="E71" s="70"/>
      <c r="F71" s="70"/>
      <c r="G71" s="70"/>
      <c r="H71" s="70"/>
      <c r="I71" s="70"/>
      <c r="J71" s="70"/>
      <c r="K71" s="70"/>
      <c r="L71" s="70"/>
      <c r="M71" s="70"/>
      <c r="N71" s="70"/>
      <c r="O71" s="70"/>
      <c r="P71" s="70"/>
      <c r="Q71" s="70"/>
      <c r="R71" s="70"/>
      <c r="S71" s="70"/>
    </row>
    <row r="72" spans="1:19" ht="16.75" customHeight="1" x14ac:dyDescent="0.15">
      <c r="A72" s="157"/>
      <c r="B72" s="70"/>
      <c r="C72" s="158"/>
      <c r="D72" s="158"/>
      <c r="E72" s="70"/>
      <c r="F72" s="70"/>
      <c r="G72" s="70"/>
      <c r="H72" s="70"/>
      <c r="I72" s="70"/>
      <c r="J72" s="70"/>
      <c r="K72" s="70"/>
      <c r="L72" s="70"/>
      <c r="M72" s="70"/>
      <c r="N72" s="70"/>
      <c r="O72" s="70"/>
      <c r="P72" s="70"/>
      <c r="Q72" s="70"/>
      <c r="R72" s="70"/>
      <c r="S72" s="70"/>
    </row>
    <row r="73" spans="1:19" ht="16.75" customHeight="1" x14ac:dyDescent="0.15">
      <c r="A73" s="157"/>
      <c r="B73" s="70"/>
      <c r="C73" s="158"/>
      <c r="D73" s="158"/>
      <c r="E73" s="70"/>
      <c r="F73" s="70"/>
      <c r="G73" s="70"/>
      <c r="H73" s="70"/>
      <c r="I73" s="70"/>
      <c r="J73" s="70"/>
      <c r="K73" s="70"/>
      <c r="L73" s="70"/>
      <c r="M73" s="70"/>
      <c r="N73" s="70"/>
      <c r="O73" s="70"/>
      <c r="P73" s="70"/>
      <c r="Q73" s="70"/>
      <c r="R73" s="70"/>
      <c r="S73" s="70"/>
    </row>
    <row r="74" spans="1:19" ht="16.75" customHeight="1" x14ac:dyDescent="0.15">
      <c r="A74" s="157"/>
      <c r="B74" s="70"/>
      <c r="C74" s="158"/>
      <c r="D74" s="158"/>
      <c r="E74" s="70"/>
      <c r="F74" s="70"/>
      <c r="G74" s="70"/>
      <c r="H74" s="70"/>
      <c r="I74" s="70"/>
      <c r="J74" s="70"/>
      <c r="K74" s="70"/>
      <c r="L74" s="70"/>
      <c r="M74" s="70"/>
      <c r="N74" s="70"/>
      <c r="O74" s="70"/>
      <c r="P74" s="70"/>
      <c r="Q74" s="70"/>
      <c r="R74" s="70"/>
      <c r="S74" s="70"/>
    </row>
    <row r="75" spans="1:19" ht="16.75" customHeight="1" x14ac:dyDescent="0.15">
      <c r="A75" s="157"/>
      <c r="B75" s="70"/>
      <c r="C75" s="158"/>
      <c r="D75" s="158"/>
      <c r="E75" s="70"/>
      <c r="F75" s="70"/>
      <c r="G75" s="70"/>
      <c r="H75" s="70"/>
      <c r="I75" s="70"/>
      <c r="J75" s="70"/>
      <c r="K75" s="70"/>
      <c r="L75" s="70"/>
      <c r="M75" s="70"/>
      <c r="N75" s="70"/>
      <c r="O75" s="70"/>
      <c r="P75" s="70"/>
      <c r="Q75" s="70"/>
      <c r="R75" s="70"/>
      <c r="S75" s="70"/>
    </row>
    <row r="76" spans="1:19" ht="16.75" customHeight="1" x14ac:dyDescent="0.15">
      <c r="A76" s="157"/>
      <c r="B76" s="70"/>
      <c r="C76" s="158"/>
      <c r="D76" s="158"/>
      <c r="E76" s="70"/>
      <c r="F76" s="70"/>
      <c r="G76" s="70"/>
      <c r="H76" s="70"/>
      <c r="I76" s="70"/>
      <c r="J76" s="70"/>
      <c r="K76" s="70"/>
      <c r="L76" s="70"/>
      <c r="M76" s="70"/>
      <c r="N76" s="70"/>
      <c r="O76" s="70"/>
      <c r="P76" s="70"/>
      <c r="Q76" s="70"/>
      <c r="R76" s="70"/>
      <c r="S76" s="70"/>
    </row>
    <row r="77" spans="1:19" ht="16.75" customHeight="1" x14ac:dyDescent="0.15">
      <c r="A77" s="157"/>
      <c r="B77" s="70"/>
      <c r="C77" s="158"/>
      <c r="D77" s="158"/>
      <c r="E77" s="70"/>
      <c r="F77" s="70"/>
      <c r="G77" s="70"/>
      <c r="H77" s="70"/>
      <c r="I77" s="70"/>
      <c r="J77" s="70"/>
      <c r="K77" s="70"/>
      <c r="L77" s="70"/>
      <c r="M77" s="70"/>
      <c r="N77" s="70"/>
      <c r="O77" s="70"/>
      <c r="P77" s="70"/>
      <c r="Q77" s="70"/>
      <c r="R77" s="70"/>
      <c r="S77" s="70"/>
    </row>
    <row r="78" spans="1:19" ht="16.75" customHeight="1" x14ac:dyDescent="0.15">
      <c r="A78" s="157"/>
      <c r="B78" s="70"/>
      <c r="C78" s="158"/>
      <c r="D78" s="158"/>
      <c r="E78" s="70"/>
      <c r="F78" s="70"/>
      <c r="G78" s="70"/>
      <c r="H78" s="70"/>
      <c r="I78" s="70"/>
      <c r="J78" s="70"/>
      <c r="K78" s="70"/>
      <c r="L78" s="70"/>
      <c r="M78" s="70"/>
      <c r="N78" s="70"/>
      <c r="O78" s="70"/>
      <c r="P78" s="70"/>
      <c r="Q78" s="70"/>
      <c r="R78" s="70"/>
      <c r="S78" s="70"/>
    </row>
    <row r="79" spans="1:19" ht="14.25" customHeight="1" x14ac:dyDescent="0.15">
      <c r="A79" s="157"/>
      <c r="B79" s="70"/>
      <c r="C79" s="158"/>
      <c r="D79" s="158"/>
      <c r="E79" s="70"/>
      <c r="F79" s="70"/>
      <c r="G79" s="70"/>
      <c r="H79" s="70"/>
      <c r="I79" s="70"/>
      <c r="J79" s="70"/>
      <c r="K79" s="70"/>
      <c r="L79" s="70"/>
      <c r="M79" s="70"/>
      <c r="N79" s="70"/>
      <c r="O79" s="70"/>
      <c r="P79" s="70"/>
      <c r="Q79" s="70"/>
      <c r="R79" s="70"/>
      <c r="S79" s="70"/>
    </row>
    <row r="80" spans="1:19" ht="16.75" customHeight="1" x14ac:dyDescent="0.15">
      <c r="A80" s="157"/>
      <c r="B80" s="70"/>
      <c r="C80" s="158"/>
      <c r="D80" s="158"/>
      <c r="E80" s="70"/>
      <c r="F80" s="70"/>
      <c r="G80" s="70"/>
      <c r="H80" s="70"/>
      <c r="I80" s="70"/>
      <c r="J80" s="70"/>
      <c r="K80" s="70"/>
      <c r="L80" s="70"/>
      <c r="M80" s="70"/>
      <c r="N80" s="70"/>
      <c r="O80" s="70"/>
      <c r="P80" s="70"/>
      <c r="Q80" s="70"/>
      <c r="R80" s="70"/>
      <c r="S80" s="70"/>
    </row>
    <row r="81" spans="1:19" ht="16.75" customHeight="1" x14ac:dyDescent="0.15">
      <c r="A81" s="157"/>
      <c r="B81" s="70"/>
      <c r="C81" s="158"/>
      <c r="D81" s="158"/>
      <c r="E81" s="70"/>
      <c r="F81" s="70"/>
      <c r="G81" s="70"/>
      <c r="H81" s="70"/>
      <c r="I81" s="70"/>
      <c r="J81" s="70"/>
      <c r="K81" s="70"/>
      <c r="L81" s="70"/>
      <c r="M81" s="70"/>
      <c r="N81" s="70"/>
      <c r="O81" s="70"/>
      <c r="P81" s="70"/>
      <c r="Q81" s="70"/>
      <c r="R81" s="70"/>
      <c r="S81" s="70"/>
    </row>
    <row r="82" spans="1:19" ht="18.75" customHeight="1" x14ac:dyDescent="0.15">
      <c r="A82" s="157"/>
      <c r="B82" s="70"/>
      <c r="C82" s="158"/>
      <c r="D82" s="158"/>
      <c r="E82" s="70"/>
      <c r="F82" s="70"/>
      <c r="G82" s="70"/>
      <c r="H82" s="70"/>
      <c r="I82" s="70"/>
      <c r="J82" s="70"/>
      <c r="K82" s="70"/>
      <c r="L82" s="70"/>
      <c r="M82" s="70"/>
      <c r="N82" s="70"/>
      <c r="O82" s="70"/>
      <c r="P82" s="70"/>
      <c r="Q82" s="70"/>
      <c r="R82" s="70"/>
      <c r="S82" s="70"/>
    </row>
    <row r="83" spans="1:19" ht="18.75" customHeight="1" x14ac:dyDescent="0.15">
      <c r="A83" s="157"/>
      <c r="B83" s="70"/>
      <c r="C83" s="158"/>
      <c r="D83" s="158"/>
      <c r="E83" s="70"/>
      <c r="F83" s="70"/>
      <c r="G83" s="70"/>
      <c r="H83" s="70"/>
      <c r="I83" s="70"/>
      <c r="J83" s="70"/>
      <c r="K83" s="70"/>
      <c r="L83" s="70"/>
      <c r="M83" s="70"/>
      <c r="N83" s="70"/>
      <c r="O83" s="70"/>
      <c r="P83" s="70"/>
      <c r="Q83" s="70"/>
      <c r="R83" s="70"/>
      <c r="S83" s="70"/>
    </row>
    <row r="84" spans="1:19" ht="18.75" customHeight="1" x14ac:dyDescent="0.15">
      <c r="A84" s="157"/>
      <c r="B84" s="70"/>
      <c r="C84" s="158"/>
      <c r="D84" s="158"/>
      <c r="E84" s="70"/>
      <c r="F84" s="70"/>
      <c r="G84" s="70"/>
      <c r="H84" s="70"/>
      <c r="I84" s="70"/>
      <c r="J84" s="70"/>
      <c r="K84" s="70"/>
      <c r="L84" s="70"/>
      <c r="M84" s="70"/>
      <c r="N84" s="70"/>
      <c r="O84" s="70"/>
      <c r="P84" s="70"/>
      <c r="Q84" s="70"/>
      <c r="R84" s="70"/>
      <c r="S84" s="70"/>
    </row>
    <row r="85" spans="1:19" ht="18.75" customHeight="1" x14ac:dyDescent="0.15">
      <c r="A85" s="157"/>
      <c r="B85" s="70"/>
      <c r="C85" s="158"/>
      <c r="D85" s="158"/>
      <c r="E85" s="70"/>
      <c r="F85" s="70"/>
      <c r="G85" s="70"/>
      <c r="H85" s="70"/>
      <c r="I85" s="70"/>
      <c r="J85" s="70"/>
      <c r="K85" s="70"/>
      <c r="L85" s="70"/>
      <c r="M85" s="70"/>
      <c r="N85" s="70"/>
      <c r="O85" s="70"/>
      <c r="P85" s="70"/>
      <c r="Q85" s="70"/>
      <c r="R85" s="70"/>
      <c r="S85" s="70"/>
    </row>
    <row r="86" spans="1:19" ht="18.75" customHeight="1" x14ac:dyDescent="0.15">
      <c r="A86" s="157"/>
      <c r="B86" s="70"/>
      <c r="C86" s="158"/>
      <c r="D86" s="158"/>
      <c r="E86" s="70"/>
      <c r="F86" s="70"/>
      <c r="G86" s="70"/>
      <c r="H86" s="70"/>
      <c r="I86" s="70"/>
      <c r="J86" s="70"/>
      <c r="K86" s="70"/>
      <c r="L86" s="70"/>
      <c r="M86" s="70"/>
      <c r="N86" s="70"/>
      <c r="O86" s="70"/>
      <c r="P86" s="70"/>
      <c r="Q86" s="70"/>
      <c r="R86" s="70"/>
      <c r="S86" s="70"/>
    </row>
    <row r="87" spans="1:19" ht="18.75" customHeight="1" x14ac:dyDescent="0.15">
      <c r="A87" s="157"/>
      <c r="B87" s="70"/>
      <c r="C87" s="158"/>
      <c r="D87" s="158"/>
      <c r="E87" s="70"/>
      <c r="F87" s="70"/>
      <c r="G87" s="70"/>
      <c r="H87" s="70"/>
      <c r="I87" s="70"/>
      <c r="J87" s="70"/>
      <c r="K87" s="70"/>
      <c r="L87" s="70"/>
      <c r="M87" s="70"/>
      <c r="N87" s="70"/>
      <c r="O87" s="70"/>
      <c r="P87" s="70"/>
      <c r="Q87" s="70"/>
      <c r="R87" s="70"/>
      <c r="S87" s="70"/>
    </row>
    <row r="88" spans="1:19" ht="18.75" customHeight="1" x14ac:dyDescent="0.15">
      <c r="A88" s="157"/>
      <c r="B88" s="70"/>
      <c r="C88" s="158"/>
      <c r="D88" s="158"/>
      <c r="E88" s="70"/>
      <c r="F88" s="70"/>
      <c r="G88" s="70"/>
      <c r="H88" s="70"/>
      <c r="I88" s="70"/>
      <c r="J88" s="70"/>
      <c r="K88" s="70"/>
      <c r="L88" s="70"/>
      <c r="M88" s="70"/>
      <c r="N88" s="70"/>
      <c r="O88" s="70"/>
      <c r="P88" s="70"/>
      <c r="Q88" s="70"/>
      <c r="R88" s="70"/>
      <c r="S88" s="70"/>
    </row>
    <row r="89" spans="1:19" ht="18.75" customHeight="1" x14ac:dyDescent="0.15">
      <c r="A89" s="157"/>
      <c r="B89" s="70"/>
      <c r="C89" s="158"/>
      <c r="D89" s="158"/>
      <c r="E89" s="70"/>
      <c r="F89" s="70"/>
      <c r="G89" s="70"/>
      <c r="H89" s="70"/>
      <c r="I89" s="70"/>
      <c r="J89" s="70"/>
      <c r="K89" s="70"/>
      <c r="L89" s="70"/>
      <c r="M89" s="70"/>
      <c r="N89" s="70"/>
      <c r="O89" s="70"/>
      <c r="P89" s="70"/>
      <c r="Q89" s="70"/>
      <c r="R89" s="70"/>
      <c r="S89" s="70"/>
    </row>
    <row r="90" spans="1:19" ht="18" customHeight="1" x14ac:dyDescent="0.15">
      <c r="A90" s="157"/>
      <c r="B90" s="70"/>
      <c r="C90" s="158"/>
      <c r="D90" s="158"/>
      <c r="E90" s="70"/>
      <c r="F90" s="70"/>
      <c r="G90" s="70"/>
      <c r="H90" s="70"/>
      <c r="I90" s="70"/>
      <c r="J90" s="70"/>
      <c r="K90" s="70"/>
      <c r="L90" s="70"/>
      <c r="M90" s="70"/>
      <c r="N90" s="70"/>
      <c r="O90" s="70"/>
      <c r="P90" s="70"/>
      <c r="Q90" s="70"/>
      <c r="R90" s="70"/>
      <c r="S90" s="70"/>
    </row>
    <row r="91" spans="1:19" x14ac:dyDescent="0.15">
      <c r="A91" s="157"/>
      <c r="B91" s="70"/>
      <c r="C91" s="158"/>
      <c r="D91" s="158"/>
      <c r="E91" s="70"/>
      <c r="F91" s="70"/>
      <c r="G91" s="70"/>
      <c r="H91" s="70"/>
      <c r="I91" s="70"/>
      <c r="J91" s="70"/>
      <c r="K91" s="70"/>
      <c r="L91" s="70"/>
      <c r="M91" s="70"/>
      <c r="N91" s="70"/>
      <c r="O91" s="70"/>
      <c r="P91" s="70"/>
      <c r="Q91" s="70"/>
      <c r="R91" s="70"/>
      <c r="S91" s="70"/>
    </row>
    <row r="92" spans="1:19" x14ac:dyDescent="0.15">
      <c r="A92" s="157"/>
      <c r="B92" s="70"/>
      <c r="C92" s="158"/>
      <c r="D92" s="158"/>
      <c r="E92" s="70"/>
      <c r="F92" s="70"/>
      <c r="G92" s="70"/>
      <c r="H92" s="70"/>
      <c r="I92" s="70"/>
      <c r="J92" s="70"/>
      <c r="K92" s="70"/>
      <c r="L92" s="70"/>
      <c r="M92" s="70"/>
      <c r="N92" s="70"/>
      <c r="O92" s="70"/>
      <c r="P92" s="70"/>
      <c r="Q92" s="70"/>
      <c r="R92" s="70"/>
      <c r="S92" s="70"/>
    </row>
    <row r="93" spans="1:19" ht="24.75" customHeight="1" x14ac:dyDescent="0.15">
      <c r="A93" s="157"/>
      <c r="B93" s="70"/>
      <c r="C93" s="158"/>
      <c r="D93" s="158"/>
      <c r="E93" s="70"/>
      <c r="F93" s="70"/>
      <c r="G93" s="70"/>
      <c r="H93" s="70"/>
      <c r="I93" s="70"/>
      <c r="J93" s="70"/>
      <c r="K93" s="70"/>
      <c r="L93" s="70"/>
      <c r="M93" s="70"/>
      <c r="N93" s="70"/>
      <c r="O93" s="70"/>
      <c r="P93" s="70"/>
      <c r="Q93" s="70"/>
      <c r="R93" s="70"/>
      <c r="S93" s="70"/>
    </row>
    <row r="94" spans="1:19" ht="18.75" customHeight="1" x14ac:dyDescent="0.15">
      <c r="A94" s="157"/>
      <c r="B94" s="70"/>
      <c r="C94" s="158"/>
      <c r="D94" s="158"/>
      <c r="E94" s="70"/>
      <c r="F94" s="70"/>
      <c r="G94" s="70"/>
      <c r="H94" s="70"/>
      <c r="I94" s="70"/>
      <c r="J94" s="70"/>
      <c r="K94" s="70"/>
      <c r="L94" s="70"/>
      <c r="M94" s="70"/>
      <c r="N94" s="70"/>
      <c r="O94" s="70"/>
      <c r="P94" s="70"/>
      <c r="Q94" s="70"/>
      <c r="R94" s="70"/>
      <c r="S94" s="70"/>
    </row>
    <row r="95" spans="1:19" ht="26.25" customHeight="1" x14ac:dyDescent="0.15">
      <c r="A95" s="157"/>
      <c r="B95" s="70"/>
      <c r="C95" s="158"/>
      <c r="D95" s="158"/>
      <c r="E95" s="70"/>
      <c r="F95" s="70"/>
      <c r="G95" s="70"/>
      <c r="H95" s="70"/>
      <c r="I95" s="70"/>
      <c r="J95" s="70"/>
      <c r="K95" s="70"/>
      <c r="L95" s="70"/>
      <c r="M95" s="70"/>
      <c r="N95" s="70"/>
      <c r="O95" s="70"/>
      <c r="P95" s="70"/>
      <c r="Q95" s="70"/>
      <c r="R95" s="70"/>
      <c r="S95" s="70"/>
    </row>
    <row r="96" spans="1:19" x14ac:dyDescent="0.15">
      <c r="A96" s="157"/>
      <c r="B96" s="70"/>
      <c r="C96" s="158"/>
      <c r="D96" s="158"/>
      <c r="E96" s="70"/>
      <c r="F96" s="70"/>
      <c r="G96" s="70"/>
      <c r="H96" s="70"/>
      <c r="I96" s="70"/>
      <c r="J96" s="70"/>
      <c r="K96" s="70"/>
      <c r="L96" s="70"/>
      <c r="M96" s="70"/>
      <c r="N96" s="70"/>
      <c r="O96" s="70"/>
      <c r="P96" s="70"/>
      <c r="Q96" s="70"/>
      <c r="R96" s="70"/>
      <c r="S96" s="70"/>
    </row>
    <row r="97" spans="1:19" ht="18.75" customHeight="1" x14ac:dyDescent="0.15">
      <c r="A97" s="157"/>
      <c r="B97" s="70"/>
      <c r="C97" s="158"/>
      <c r="D97" s="158"/>
      <c r="E97" s="70"/>
      <c r="F97" s="70"/>
      <c r="G97" s="70"/>
      <c r="H97" s="70"/>
      <c r="I97" s="70"/>
      <c r="J97" s="70"/>
      <c r="K97" s="70"/>
      <c r="L97" s="70"/>
      <c r="M97" s="70"/>
      <c r="N97" s="70"/>
      <c r="O97" s="70"/>
      <c r="P97" s="70"/>
      <c r="Q97" s="70"/>
      <c r="R97" s="70"/>
      <c r="S97" s="70"/>
    </row>
    <row r="98" spans="1:19" x14ac:dyDescent="0.15">
      <c r="A98" s="157"/>
      <c r="B98" s="70"/>
      <c r="C98" s="158"/>
      <c r="D98" s="158"/>
      <c r="E98" s="70"/>
      <c r="F98" s="70"/>
      <c r="G98" s="70"/>
      <c r="H98" s="70"/>
      <c r="I98" s="70"/>
      <c r="J98" s="70"/>
      <c r="K98" s="70"/>
      <c r="L98" s="70"/>
      <c r="M98" s="70"/>
      <c r="N98" s="70"/>
      <c r="O98" s="70"/>
      <c r="P98" s="70"/>
      <c r="Q98" s="70"/>
      <c r="R98" s="70"/>
      <c r="S98" s="70"/>
    </row>
    <row r="99" spans="1:19" x14ac:dyDescent="0.15">
      <c r="A99" s="157"/>
      <c r="B99" s="70"/>
      <c r="C99" s="158"/>
      <c r="D99" s="158"/>
      <c r="E99" s="70"/>
      <c r="F99" s="70"/>
      <c r="G99" s="70"/>
      <c r="H99" s="70"/>
      <c r="I99" s="70"/>
      <c r="J99" s="70"/>
      <c r="K99" s="70"/>
      <c r="L99" s="70"/>
      <c r="M99" s="70"/>
      <c r="N99" s="70"/>
      <c r="O99" s="70"/>
      <c r="P99" s="70"/>
      <c r="Q99" s="70"/>
      <c r="R99" s="70"/>
      <c r="S99" s="70"/>
    </row>
    <row r="100" spans="1:19" x14ac:dyDescent="0.15">
      <c r="A100" s="157"/>
      <c r="B100" s="70"/>
      <c r="C100" s="158"/>
      <c r="D100" s="158"/>
      <c r="E100" s="70"/>
      <c r="F100" s="70"/>
      <c r="G100" s="70"/>
      <c r="H100" s="70"/>
      <c r="I100" s="70"/>
      <c r="J100" s="70"/>
      <c r="K100" s="70"/>
      <c r="L100" s="70"/>
      <c r="M100" s="70"/>
      <c r="N100" s="70"/>
      <c r="O100" s="70"/>
      <c r="P100" s="70"/>
      <c r="Q100" s="70"/>
      <c r="R100" s="70"/>
      <c r="S100" s="70"/>
    </row>
    <row r="101" spans="1:19" x14ac:dyDescent="0.15">
      <c r="A101" s="157"/>
      <c r="B101" s="70"/>
      <c r="C101" s="158"/>
      <c r="D101" s="158"/>
      <c r="E101" s="70"/>
      <c r="F101" s="70"/>
      <c r="G101" s="70"/>
      <c r="H101" s="70"/>
      <c r="I101" s="70"/>
      <c r="J101" s="70"/>
      <c r="K101" s="70"/>
      <c r="L101" s="70"/>
      <c r="M101" s="70"/>
      <c r="N101" s="70"/>
      <c r="O101" s="70"/>
      <c r="P101" s="70"/>
      <c r="Q101" s="70"/>
      <c r="R101" s="70"/>
      <c r="S101" s="70"/>
    </row>
    <row r="102" spans="1:19" x14ac:dyDescent="0.15">
      <c r="A102" s="157"/>
      <c r="B102" s="70"/>
      <c r="C102" s="158"/>
      <c r="D102" s="158"/>
      <c r="E102" s="70"/>
      <c r="F102" s="70"/>
      <c r="G102" s="70"/>
      <c r="H102" s="70"/>
      <c r="I102" s="70"/>
      <c r="J102" s="70"/>
      <c r="K102" s="70"/>
      <c r="L102" s="70"/>
      <c r="M102" s="70"/>
      <c r="N102" s="70"/>
      <c r="O102" s="70"/>
      <c r="P102" s="70"/>
      <c r="Q102" s="70"/>
      <c r="R102" s="70"/>
      <c r="S102" s="70"/>
    </row>
    <row r="103" spans="1:19" x14ac:dyDescent="0.15">
      <c r="A103" s="157"/>
      <c r="B103" s="70"/>
      <c r="C103" s="158"/>
      <c r="D103" s="158"/>
      <c r="E103" s="70"/>
      <c r="F103" s="70"/>
      <c r="G103" s="70"/>
      <c r="H103" s="70"/>
      <c r="I103" s="70"/>
      <c r="J103" s="70"/>
      <c r="K103" s="70"/>
      <c r="L103" s="70"/>
      <c r="M103" s="70"/>
      <c r="N103" s="70"/>
      <c r="O103" s="70"/>
      <c r="P103" s="70"/>
      <c r="Q103" s="70"/>
      <c r="R103" s="70"/>
      <c r="S103" s="70"/>
    </row>
    <row r="104" spans="1:19" x14ac:dyDescent="0.15">
      <c r="A104" s="157"/>
      <c r="B104" s="70"/>
      <c r="C104" s="158"/>
      <c r="D104" s="158"/>
      <c r="E104" s="70"/>
      <c r="F104" s="70"/>
      <c r="G104" s="70"/>
      <c r="H104" s="70"/>
      <c r="I104" s="70"/>
      <c r="J104" s="70"/>
      <c r="K104" s="70"/>
      <c r="L104" s="70"/>
      <c r="M104" s="70"/>
      <c r="N104" s="70"/>
      <c r="O104" s="70"/>
      <c r="P104" s="70"/>
      <c r="Q104" s="70"/>
      <c r="R104" s="70"/>
      <c r="S104" s="70"/>
    </row>
    <row r="105" spans="1:19" x14ac:dyDescent="0.15">
      <c r="A105" s="157"/>
      <c r="B105" s="70"/>
      <c r="C105" s="158"/>
      <c r="D105" s="158"/>
      <c r="E105" s="70"/>
      <c r="F105" s="70"/>
      <c r="G105" s="70"/>
      <c r="H105" s="70"/>
      <c r="I105" s="70"/>
      <c r="J105" s="70"/>
      <c r="K105" s="70"/>
      <c r="L105" s="70"/>
      <c r="M105" s="70"/>
      <c r="N105" s="70"/>
      <c r="O105" s="70"/>
      <c r="P105" s="70"/>
      <c r="Q105" s="70"/>
      <c r="R105" s="70"/>
      <c r="S105" s="70"/>
    </row>
    <row r="106" spans="1:19" x14ac:dyDescent="0.15">
      <c r="A106" s="157"/>
      <c r="B106" s="70"/>
      <c r="C106" s="158"/>
      <c r="D106" s="158"/>
      <c r="E106" s="70"/>
      <c r="F106" s="70"/>
      <c r="G106" s="70"/>
      <c r="H106" s="70"/>
      <c r="I106" s="70"/>
      <c r="J106" s="70"/>
      <c r="K106" s="70"/>
      <c r="L106" s="70"/>
      <c r="M106" s="70"/>
      <c r="N106" s="70"/>
      <c r="O106" s="70"/>
      <c r="P106" s="70"/>
      <c r="Q106" s="70"/>
      <c r="R106" s="70"/>
      <c r="S106" s="70"/>
    </row>
    <row r="107" spans="1:19" x14ac:dyDescent="0.15">
      <c r="A107" s="157"/>
      <c r="B107" s="70"/>
      <c r="C107" s="158"/>
      <c r="D107" s="158"/>
      <c r="E107" s="70"/>
      <c r="F107" s="70"/>
      <c r="G107" s="70"/>
      <c r="H107" s="70"/>
      <c r="I107" s="70"/>
      <c r="J107" s="70"/>
      <c r="K107" s="70"/>
      <c r="L107" s="70"/>
      <c r="M107" s="70"/>
      <c r="N107" s="70"/>
      <c r="O107" s="70"/>
      <c r="P107" s="70"/>
      <c r="Q107" s="70"/>
      <c r="R107" s="70"/>
      <c r="S107" s="70"/>
    </row>
    <row r="108" spans="1:19" x14ac:dyDescent="0.15">
      <c r="A108" s="157"/>
      <c r="B108" s="70"/>
      <c r="C108" s="158"/>
      <c r="D108" s="158"/>
      <c r="E108" s="70"/>
      <c r="F108" s="70"/>
      <c r="G108" s="70"/>
      <c r="H108" s="70"/>
      <c r="I108" s="70"/>
      <c r="J108" s="70"/>
      <c r="K108" s="70"/>
      <c r="L108" s="70"/>
      <c r="M108" s="70"/>
      <c r="N108" s="70"/>
      <c r="O108" s="70"/>
      <c r="P108" s="70"/>
      <c r="Q108" s="70"/>
      <c r="R108" s="70"/>
      <c r="S108" s="70"/>
    </row>
    <row r="109" spans="1:19" x14ac:dyDescent="0.15">
      <c r="A109" s="157"/>
      <c r="B109" s="70"/>
      <c r="C109" s="158"/>
      <c r="D109" s="158"/>
      <c r="E109" s="70"/>
      <c r="F109" s="70"/>
      <c r="G109" s="70"/>
      <c r="H109" s="70"/>
      <c r="I109" s="70"/>
      <c r="J109" s="70"/>
      <c r="K109" s="70"/>
      <c r="L109" s="70"/>
      <c r="M109" s="70"/>
      <c r="N109" s="70"/>
      <c r="O109" s="70"/>
      <c r="P109" s="70"/>
      <c r="Q109" s="70"/>
      <c r="R109" s="70"/>
      <c r="S109" s="70"/>
    </row>
    <row r="110" spans="1:19" x14ac:dyDescent="0.15">
      <c r="A110" s="157"/>
      <c r="B110" s="70"/>
      <c r="C110" s="158"/>
      <c r="D110" s="158"/>
      <c r="E110" s="70"/>
      <c r="F110" s="70"/>
      <c r="G110" s="70"/>
      <c r="H110" s="70"/>
      <c r="I110" s="70"/>
      <c r="J110" s="70"/>
      <c r="K110" s="70"/>
      <c r="L110" s="70"/>
      <c r="M110" s="70"/>
      <c r="N110" s="70"/>
      <c r="O110" s="70"/>
      <c r="P110" s="70"/>
      <c r="Q110" s="70"/>
      <c r="R110" s="70"/>
      <c r="S110" s="70"/>
    </row>
    <row r="111" spans="1:19" x14ac:dyDescent="0.15">
      <c r="A111" s="157"/>
      <c r="B111" s="70"/>
      <c r="C111" s="158"/>
      <c r="D111" s="158"/>
      <c r="E111" s="70"/>
      <c r="F111" s="70"/>
      <c r="G111" s="70"/>
      <c r="H111" s="70"/>
      <c r="I111" s="70"/>
      <c r="J111" s="70"/>
      <c r="K111" s="70"/>
      <c r="L111" s="70"/>
      <c r="M111" s="70"/>
      <c r="N111" s="70"/>
      <c r="O111" s="70"/>
      <c r="P111" s="70"/>
      <c r="Q111" s="70"/>
      <c r="R111" s="70"/>
      <c r="S111" s="70"/>
    </row>
    <row r="112" spans="1:19" x14ac:dyDescent="0.15">
      <c r="A112" s="157"/>
      <c r="B112" s="70"/>
      <c r="C112" s="158"/>
      <c r="D112" s="158"/>
      <c r="E112" s="70"/>
      <c r="F112" s="70"/>
      <c r="G112" s="70"/>
      <c r="H112" s="70"/>
      <c r="I112" s="70"/>
      <c r="J112" s="70"/>
      <c r="K112" s="70"/>
      <c r="L112" s="70"/>
      <c r="M112" s="70"/>
      <c r="N112" s="70"/>
      <c r="O112" s="70"/>
      <c r="P112" s="70"/>
      <c r="Q112" s="70"/>
      <c r="R112" s="70"/>
      <c r="S112" s="70"/>
    </row>
    <row r="113" spans="1:19" x14ac:dyDescent="0.15">
      <c r="A113" s="157"/>
      <c r="B113" s="70"/>
      <c r="C113" s="158"/>
      <c r="D113" s="158"/>
      <c r="E113" s="70"/>
      <c r="F113" s="70"/>
      <c r="G113" s="70"/>
      <c r="H113" s="70"/>
      <c r="I113" s="70"/>
      <c r="J113" s="70"/>
      <c r="K113" s="70"/>
      <c r="L113" s="70"/>
      <c r="M113" s="70"/>
      <c r="N113" s="70"/>
      <c r="O113" s="70"/>
      <c r="P113" s="70"/>
      <c r="Q113" s="70"/>
      <c r="R113" s="70"/>
      <c r="S113" s="70"/>
    </row>
    <row r="114" spans="1:19" x14ac:dyDescent="0.15">
      <c r="A114" s="157"/>
      <c r="B114" s="70"/>
      <c r="C114" s="158"/>
      <c r="D114" s="158"/>
      <c r="E114" s="70"/>
      <c r="F114" s="70"/>
      <c r="G114" s="70"/>
      <c r="H114" s="70"/>
      <c r="I114" s="70"/>
      <c r="J114" s="70"/>
      <c r="K114" s="70"/>
      <c r="L114" s="70"/>
      <c r="M114" s="70"/>
      <c r="N114" s="70"/>
      <c r="O114" s="70"/>
      <c r="P114" s="70"/>
      <c r="Q114" s="70"/>
      <c r="R114" s="70"/>
      <c r="S114" s="70"/>
    </row>
  </sheetData>
  <mergeCells count="9">
    <mergeCell ref="G4:G5"/>
    <mergeCell ref="H4:H5"/>
    <mergeCell ref="I4:I5"/>
    <mergeCell ref="J4:J5"/>
    <mergeCell ref="A4:A5"/>
    <mergeCell ref="C4:C5"/>
    <mergeCell ref="D4:D5"/>
    <mergeCell ref="E4:E5"/>
    <mergeCell ref="F4:F5"/>
  </mergeCells>
  <conditionalFormatting sqref="J6:J35">
    <cfRule type="cellIs" dxfId="0" priority="2" operator="notEqual">
      <formula>0</formula>
    </cfRule>
  </conditionalFormatting>
  <printOptions horizontalCentered="1"/>
  <pageMargins left="3.9583333333333297E-2" right="3.9583333333333297E-2" top="0.39374999999999999" bottom="0.39305555555555599" header="0.51180555555555496" footer="0.196527777777778"/>
  <pageSetup paperSize="9" firstPageNumber="0" orientation="landscape" horizontalDpi="300" verticalDpi="300"/>
  <headerFooter>
    <oddFooter>&amp;L&amp;9 &amp;F - &amp;A&amp;C&amp;9 &amp;P&amp;R&amp;9 Printed on &amp;D at &amp;T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pageSetUpPr fitToPage="1"/>
  </sheetPr>
  <dimension ref="A1:AMJ131"/>
  <sheetViews>
    <sheetView showZeros="0" zoomScale="90" zoomScaleNormal="90" workbookViewId="0">
      <selection activeCellId="1" sqref="L13:L14 A1"/>
    </sheetView>
  </sheetViews>
  <sheetFormatPr baseColWidth="10" defaultColWidth="9.1640625" defaultRowHeight="13" x14ac:dyDescent="0.15"/>
  <cols>
    <col min="1" max="1" width="5.6640625" style="159" customWidth="1"/>
    <col min="2" max="2" width="150.6640625" style="160" customWidth="1"/>
    <col min="3" max="3" width="5.6640625" style="160" customWidth="1"/>
    <col min="4" max="1024" width="9.1640625" style="160"/>
  </cols>
  <sheetData>
    <row r="1" spans="1:2" ht="15.75" customHeight="1" x14ac:dyDescent="0.15">
      <c r="A1" s="221" t="s">
        <v>109</v>
      </c>
      <c r="B1" s="221"/>
    </row>
    <row r="3" spans="1:2" ht="15" customHeight="1" x14ac:dyDescent="0.15">
      <c r="A3" s="222" t="s">
        <v>110</v>
      </c>
      <c r="B3" s="222"/>
    </row>
    <row r="4" spans="1:2" ht="15" customHeight="1" x14ac:dyDescent="0.15">
      <c r="B4" s="161" t="s">
        <v>111</v>
      </c>
    </row>
    <row r="5" spans="1:2" x14ac:dyDescent="0.15">
      <c r="B5" s="162"/>
    </row>
    <row r="6" spans="1:2" ht="50" customHeight="1" x14ac:dyDescent="0.15">
      <c r="A6" s="223" t="s">
        <v>112</v>
      </c>
      <c r="B6" s="223"/>
    </row>
    <row r="7" spans="1:2" x14ac:dyDescent="0.15">
      <c r="B7" s="162"/>
    </row>
    <row r="8" spans="1:2" ht="15" customHeight="1" x14ac:dyDescent="0.15">
      <c r="A8" s="223" t="s">
        <v>113</v>
      </c>
      <c r="B8" s="223"/>
    </row>
    <row r="9" spans="1:2" x14ac:dyDescent="0.15">
      <c r="B9" s="162"/>
    </row>
    <row r="10" spans="1:2" ht="15.75" customHeight="1" x14ac:dyDescent="0.15">
      <c r="A10" s="163" t="s">
        <v>114</v>
      </c>
      <c r="B10" s="159"/>
    </row>
    <row r="11" spans="1:2" x14ac:dyDescent="0.15">
      <c r="B11" s="162"/>
    </row>
    <row r="12" spans="1:2" ht="15" customHeight="1" x14ac:dyDescent="0.15">
      <c r="A12" s="164" t="s">
        <v>115</v>
      </c>
      <c r="B12" s="165" t="s">
        <v>116</v>
      </c>
    </row>
    <row r="13" spans="1:2" ht="15" customHeight="1" x14ac:dyDescent="0.15">
      <c r="A13" s="164"/>
      <c r="B13" s="162" t="s">
        <v>117</v>
      </c>
    </row>
    <row r="14" spans="1:2" ht="14" x14ac:dyDescent="0.15">
      <c r="B14" s="162" t="s">
        <v>118</v>
      </c>
    </row>
    <row r="15" spans="1:2" ht="25" customHeight="1" x14ac:dyDescent="0.15">
      <c r="B15" s="162" t="s">
        <v>119</v>
      </c>
    </row>
    <row r="16" spans="1:2" x14ac:dyDescent="0.15">
      <c r="B16" s="162"/>
    </row>
    <row r="17" spans="1:2" ht="13" customHeight="1" x14ac:dyDescent="0.15">
      <c r="A17" s="164" t="s">
        <v>120</v>
      </c>
      <c r="B17" s="165" t="s">
        <v>121</v>
      </c>
    </row>
    <row r="18" spans="1:2" ht="13" customHeight="1" x14ac:dyDescent="0.15">
      <c r="A18" s="164"/>
      <c r="B18" s="162" t="s">
        <v>122</v>
      </c>
    </row>
    <row r="19" spans="1:2" x14ac:dyDescent="0.15">
      <c r="B19" s="162"/>
    </row>
    <row r="20" spans="1:2" ht="13.75" customHeight="1" x14ac:dyDescent="0.15">
      <c r="A20" s="164" t="s">
        <v>123</v>
      </c>
      <c r="B20" s="165" t="s">
        <v>124</v>
      </c>
    </row>
    <row r="21" spans="1:2" ht="15" customHeight="1" x14ac:dyDescent="0.15">
      <c r="B21" s="162" t="s">
        <v>125</v>
      </c>
    </row>
    <row r="22" spans="1:2" x14ac:dyDescent="0.15">
      <c r="B22" s="162"/>
    </row>
    <row r="23" spans="1:2" ht="13.75" customHeight="1" x14ac:dyDescent="0.15">
      <c r="A23" s="164">
        <v>3.1</v>
      </c>
      <c r="B23" s="165" t="s">
        <v>126</v>
      </c>
    </row>
    <row r="24" spans="1:2" ht="13" customHeight="1" x14ac:dyDescent="0.15">
      <c r="A24" s="164"/>
      <c r="B24" s="162" t="s">
        <v>127</v>
      </c>
    </row>
    <row r="25" spans="1:2" ht="30" customHeight="1" x14ac:dyDescent="0.15">
      <c r="B25" s="162" t="s">
        <v>128</v>
      </c>
    </row>
    <row r="26" spans="1:2" x14ac:dyDescent="0.15">
      <c r="B26" s="162"/>
    </row>
    <row r="27" spans="1:2" ht="13.75" customHeight="1" x14ac:dyDescent="0.15">
      <c r="A27" s="164">
        <v>3.2</v>
      </c>
      <c r="B27" s="165" t="s">
        <v>129</v>
      </c>
    </row>
    <row r="28" spans="1:2" ht="15" customHeight="1" x14ac:dyDescent="0.15">
      <c r="B28" s="162" t="s">
        <v>130</v>
      </c>
    </row>
    <row r="29" spans="1:2" ht="20" customHeight="1" x14ac:dyDescent="0.15">
      <c r="B29" s="162" t="s">
        <v>131</v>
      </c>
    </row>
    <row r="30" spans="1:2" ht="20" customHeight="1" x14ac:dyDescent="0.15">
      <c r="B30" s="162" t="s">
        <v>132</v>
      </c>
    </row>
    <row r="31" spans="1:2" ht="40.25" customHeight="1" x14ac:dyDescent="0.15">
      <c r="B31" s="162" t="s">
        <v>133</v>
      </c>
    </row>
    <row r="32" spans="1:2" ht="40.25" customHeight="1" x14ac:dyDescent="0.15">
      <c r="B32" s="162" t="s">
        <v>134</v>
      </c>
    </row>
    <row r="33" spans="1:2" ht="14" x14ac:dyDescent="0.15">
      <c r="B33" s="162" t="s">
        <v>135</v>
      </c>
    </row>
    <row r="35" spans="1:2" ht="13" customHeight="1" x14ac:dyDescent="0.15">
      <c r="B35" s="165" t="s">
        <v>136</v>
      </c>
    </row>
    <row r="36" spans="1:2" ht="13" customHeight="1" x14ac:dyDescent="0.15">
      <c r="B36" s="165"/>
    </row>
    <row r="37" spans="1:2" ht="15" customHeight="1" x14ac:dyDescent="0.15">
      <c r="B37" s="166" t="s">
        <v>137</v>
      </c>
    </row>
    <row r="38" spans="1:2" ht="15" customHeight="1" x14ac:dyDescent="0.15">
      <c r="B38" s="166" t="s">
        <v>138</v>
      </c>
    </row>
    <row r="39" spans="1:2" ht="50" customHeight="1" x14ac:dyDescent="0.15">
      <c r="B39" s="166" t="s">
        <v>139</v>
      </c>
    </row>
    <row r="40" spans="1:2" ht="13" customHeight="1" x14ac:dyDescent="0.15">
      <c r="B40" s="166"/>
    </row>
    <row r="41" spans="1:2" ht="14" x14ac:dyDescent="0.15">
      <c r="B41" s="167" t="s">
        <v>140</v>
      </c>
    </row>
    <row r="42" spans="1:2" x14ac:dyDescent="0.15">
      <c r="B42" s="167"/>
    </row>
    <row r="43" spans="1:2" ht="25" customHeight="1" x14ac:dyDescent="0.15">
      <c r="B43" s="168" t="s">
        <v>141</v>
      </c>
    </row>
    <row r="44" spans="1:2" x14ac:dyDescent="0.15">
      <c r="B44" s="167"/>
    </row>
    <row r="45" spans="1:2" ht="13.25" customHeight="1" x14ac:dyDescent="0.15">
      <c r="B45" s="162" t="s">
        <v>142</v>
      </c>
    </row>
    <row r="46" spans="1:2" x14ac:dyDescent="0.15">
      <c r="B46" s="162"/>
    </row>
    <row r="47" spans="1:2" ht="13.75" customHeight="1" x14ac:dyDescent="0.15">
      <c r="A47" s="164">
        <v>3.3</v>
      </c>
      <c r="B47" s="165" t="s">
        <v>143</v>
      </c>
    </row>
    <row r="48" spans="1:2" ht="25" customHeight="1" x14ac:dyDescent="0.15">
      <c r="A48" s="164"/>
      <c r="B48" s="162" t="s">
        <v>144</v>
      </c>
    </row>
    <row r="49" spans="1:2" x14ac:dyDescent="0.15">
      <c r="B49" s="162"/>
    </row>
    <row r="50" spans="1:2" ht="13.75" customHeight="1" x14ac:dyDescent="0.15">
      <c r="A50" s="164">
        <v>3.4</v>
      </c>
      <c r="B50" s="165" t="s">
        <v>145</v>
      </c>
    </row>
    <row r="51" spans="1:2" ht="70.25" customHeight="1" x14ac:dyDescent="0.15">
      <c r="A51" s="164"/>
      <c r="B51" s="165" t="s">
        <v>146</v>
      </c>
    </row>
    <row r="52" spans="1:2" x14ac:dyDescent="0.15">
      <c r="B52" s="162"/>
    </row>
    <row r="53" spans="1:2" ht="13.75" customHeight="1" x14ac:dyDescent="0.15">
      <c r="A53" s="164">
        <v>3.5</v>
      </c>
      <c r="B53" s="165" t="s">
        <v>147</v>
      </c>
    </row>
    <row r="54" spans="1:2" ht="25" customHeight="1" x14ac:dyDescent="0.15">
      <c r="A54" s="164"/>
      <c r="B54" s="162" t="s">
        <v>148</v>
      </c>
    </row>
    <row r="55" spans="1:2" x14ac:dyDescent="0.15">
      <c r="B55" s="162"/>
    </row>
    <row r="56" spans="1:2" ht="13.75" customHeight="1" x14ac:dyDescent="0.15">
      <c r="A56" s="164">
        <v>3.6</v>
      </c>
      <c r="B56" s="165" t="s">
        <v>149</v>
      </c>
    </row>
    <row r="57" spans="1:2" ht="25" customHeight="1" x14ac:dyDescent="0.15">
      <c r="B57" s="162" t="s">
        <v>150</v>
      </c>
    </row>
    <row r="58" spans="1:2" ht="37.5" customHeight="1" x14ac:dyDescent="0.15">
      <c r="B58" s="162" t="s">
        <v>151</v>
      </c>
    </row>
    <row r="59" spans="1:2" x14ac:dyDescent="0.15">
      <c r="B59" s="162"/>
    </row>
    <row r="60" spans="1:2" ht="15" customHeight="1" x14ac:dyDescent="0.15">
      <c r="A60" s="164">
        <v>3.7</v>
      </c>
      <c r="B60" s="169" t="s">
        <v>152</v>
      </c>
    </row>
    <row r="61" spans="1:2" ht="15" customHeight="1" x14ac:dyDescent="0.15">
      <c r="B61" s="162" t="s">
        <v>153</v>
      </c>
    </row>
    <row r="62" spans="1:2" ht="15" customHeight="1" x14ac:dyDescent="0.15">
      <c r="B62" s="162" t="s">
        <v>154</v>
      </c>
    </row>
    <row r="63" spans="1:2" x14ac:dyDescent="0.15">
      <c r="B63" s="162"/>
    </row>
    <row r="64" spans="1:2" ht="15" customHeight="1" x14ac:dyDescent="0.15">
      <c r="A64" s="164" t="s">
        <v>155</v>
      </c>
      <c r="B64" s="165" t="s">
        <v>156</v>
      </c>
    </row>
    <row r="65" spans="1:6" ht="25" customHeight="1" x14ac:dyDescent="0.15">
      <c r="B65" s="162" t="s">
        <v>157</v>
      </c>
    </row>
    <row r="66" spans="1:6" x14ac:dyDescent="0.15">
      <c r="B66" s="162"/>
    </row>
    <row r="67" spans="1:6" ht="15" customHeight="1" x14ac:dyDescent="0.15">
      <c r="A67" s="164">
        <v>4.0999999999999996</v>
      </c>
      <c r="B67" s="165" t="s">
        <v>158</v>
      </c>
    </row>
    <row r="68" spans="1:6" ht="15" customHeight="1" x14ac:dyDescent="0.15">
      <c r="A68" s="164"/>
      <c r="B68" s="162" t="s">
        <v>159</v>
      </c>
    </row>
    <row r="69" spans="1:6" ht="13" customHeight="1" x14ac:dyDescent="0.15">
      <c r="A69" s="164"/>
      <c r="B69" s="162"/>
    </row>
    <row r="70" spans="1:6" ht="13" customHeight="1" x14ac:dyDescent="0.15">
      <c r="A70" s="164">
        <v>4.2</v>
      </c>
      <c r="B70" s="165" t="s">
        <v>160</v>
      </c>
      <c r="C70" s="170"/>
      <c r="D70" s="170"/>
      <c r="E70" s="170"/>
      <c r="F70" s="170"/>
    </row>
    <row r="71" spans="1:6" ht="13.75" customHeight="1" x14ac:dyDescent="0.15">
      <c r="B71" s="162" t="s">
        <v>161</v>
      </c>
      <c r="C71" s="170"/>
      <c r="D71" s="170"/>
      <c r="E71" s="170"/>
      <c r="F71" s="170"/>
    </row>
    <row r="72" spans="1:6" ht="13" customHeight="1" x14ac:dyDescent="0.15">
      <c r="B72" s="165"/>
      <c r="C72" s="170"/>
      <c r="D72" s="170"/>
      <c r="E72" s="170"/>
      <c r="F72" s="170"/>
    </row>
    <row r="73" spans="1:6" ht="13" customHeight="1" x14ac:dyDescent="0.15">
      <c r="A73" s="164">
        <v>4.3</v>
      </c>
      <c r="B73" s="165" t="s">
        <v>162</v>
      </c>
    </row>
    <row r="74" spans="1:6" ht="25" customHeight="1" x14ac:dyDescent="0.15">
      <c r="B74" s="162" t="s">
        <v>163</v>
      </c>
    </row>
    <row r="75" spans="1:6" ht="13" customHeight="1" x14ac:dyDescent="0.15">
      <c r="B75" s="165"/>
    </row>
    <row r="76" spans="1:6" ht="15" customHeight="1" x14ac:dyDescent="0.15">
      <c r="A76" s="164">
        <v>4.4000000000000004</v>
      </c>
      <c r="B76" s="165" t="s">
        <v>164</v>
      </c>
    </row>
    <row r="77" spans="1:6" ht="25" customHeight="1" x14ac:dyDescent="0.15">
      <c r="B77" s="162" t="s">
        <v>165</v>
      </c>
    </row>
    <row r="78" spans="1:6" ht="55.25" customHeight="1" x14ac:dyDescent="0.15">
      <c r="B78" s="162" t="s">
        <v>166</v>
      </c>
    </row>
    <row r="79" spans="1:6" ht="13" customHeight="1" x14ac:dyDescent="0.15">
      <c r="B79" s="165"/>
    </row>
    <row r="80" spans="1:6" ht="15" customHeight="1" x14ac:dyDescent="0.15">
      <c r="A80" s="164">
        <v>4.5</v>
      </c>
      <c r="B80" s="165" t="s">
        <v>167</v>
      </c>
    </row>
    <row r="81" spans="1:2" ht="33" customHeight="1" x14ac:dyDescent="0.15">
      <c r="B81" s="162" t="s">
        <v>168</v>
      </c>
    </row>
    <row r="82" spans="1:2" ht="50.25" customHeight="1" x14ac:dyDescent="0.15">
      <c r="B82" s="162" t="s">
        <v>169</v>
      </c>
    </row>
    <row r="83" spans="1:2" ht="15" customHeight="1" x14ac:dyDescent="0.15">
      <c r="B83" s="165"/>
    </row>
    <row r="84" spans="1:2" ht="15" customHeight="1" x14ac:dyDescent="0.15">
      <c r="A84" s="164">
        <v>4.5999999999999996</v>
      </c>
      <c r="B84" s="165" t="s">
        <v>170</v>
      </c>
    </row>
    <row r="85" spans="1:2" ht="15" customHeight="1" x14ac:dyDescent="0.15">
      <c r="B85" s="162" t="s">
        <v>171</v>
      </c>
    </row>
    <row r="86" spans="1:2" ht="15" customHeight="1" x14ac:dyDescent="0.15">
      <c r="B86" s="165"/>
    </row>
    <row r="87" spans="1:2" ht="15" customHeight="1" x14ac:dyDescent="0.15">
      <c r="A87" s="164">
        <v>4.7</v>
      </c>
      <c r="B87" s="165" t="s">
        <v>172</v>
      </c>
    </row>
    <row r="88" spans="1:2" ht="15" customHeight="1" x14ac:dyDescent="0.15">
      <c r="B88" s="162" t="s">
        <v>173</v>
      </c>
    </row>
    <row r="89" spans="1:2" ht="15" customHeight="1" x14ac:dyDescent="0.15">
      <c r="B89" s="165"/>
    </row>
    <row r="90" spans="1:2" ht="15" customHeight="1" x14ac:dyDescent="0.15">
      <c r="A90" s="164" t="s">
        <v>174</v>
      </c>
      <c r="B90" s="165" t="s">
        <v>175</v>
      </c>
    </row>
    <row r="91" spans="1:2" ht="15" customHeight="1" x14ac:dyDescent="0.15">
      <c r="A91" s="164"/>
      <c r="B91" s="162" t="s">
        <v>176</v>
      </c>
    </row>
    <row r="92" spans="1:2" ht="14" x14ac:dyDescent="0.15">
      <c r="B92" s="162" t="s">
        <v>177</v>
      </c>
    </row>
    <row r="93" spans="1:2" ht="25" customHeight="1" x14ac:dyDescent="0.15">
      <c r="B93" s="162" t="s">
        <v>178</v>
      </c>
    </row>
    <row r="94" spans="1:2" ht="15" customHeight="1" x14ac:dyDescent="0.15">
      <c r="B94" s="162"/>
    </row>
    <row r="95" spans="1:2" ht="15" customHeight="1" x14ac:dyDescent="0.15">
      <c r="A95" s="164" t="s">
        <v>179</v>
      </c>
      <c r="B95" s="165" t="s">
        <v>180</v>
      </c>
    </row>
    <row r="96" spans="1:2" ht="15" customHeight="1" x14ac:dyDescent="0.15">
      <c r="B96" s="162" t="s">
        <v>181</v>
      </c>
    </row>
    <row r="97" spans="1:2" ht="15" customHeight="1" x14ac:dyDescent="0.15">
      <c r="B97" s="162"/>
    </row>
    <row r="98" spans="1:2" ht="15" customHeight="1" x14ac:dyDescent="0.15">
      <c r="A98" s="164" t="s">
        <v>182</v>
      </c>
      <c r="B98" s="165" t="s">
        <v>183</v>
      </c>
    </row>
    <row r="99" spans="1:2" ht="25" customHeight="1" x14ac:dyDescent="0.15">
      <c r="B99" s="162" t="s">
        <v>184</v>
      </c>
    </row>
    <row r="100" spans="1:2" ht="25" customHeight="1" x14ac:dyDescent="0.15">
      <c r="B100" s="160" t="s">
        <v>185</v>
      </c>
    </row>
    <row r="101" spans="1:2" ht="15" customHeight="1" x14ac:dyDescent="0.15">
      <c r="B101" s="162"/>
    </row>
    <row r="115" spans="2:2" x14ac:dyDescent="0.15">
      <c r="B115" s="171"/>
    </row>
    <row r="116" spans="2:2" x14ac:dyDescent="0.15">
      <c r="B116" s="171"/>
    </row>
    <row r="117" spans="2:2" x14ac:dyDescent="0.15">
      <c r="B117" s="171"/>
    </row>
    <row r="118" spans="2:2" x14ac:dyDescent="0.15">
      <c r="B118" s="171"/>
    </row>
    <row r="119" spans="2:2" x14ac:dyDescent="0.15">
      <c r="B119" s="171"/>
    </row>
    <row r="120" spans="2:2" x14ac:dyDescent="0.15">
      <c r="B120" s="171"/>
    </row>
    <row r="121" spans="2:2" x14ac:dyDescent="0.15">
      <c r="B121" s="171"/>
    </row>
    <row r="122" spans="2:2" x14ac:dyDescent="0.15">
      <c r="B122" s="171"/>
    </row>
    <row r="123" spans="2:2" x14ac:dyDescent="0.15">
      <c r="B123" s="171"/>
    </row>
    <row r="124" spans="2:2" x14ac:dyDescent="0.15">
      <c r="B124" s="171"/>
    </row>
    <row r="125" spans="2:2" x14ac:dyDescent="0.15">
      <c r="B125" s="171"/>
    </row>
    <row r="126" spans="2:2" x14ac:dyDescent="0.15">
      <c r="B126" s="171"/>
    </row>
    <row r="127" spans="2:2" x14ac:dyDescent="0.15">
      <c r="B127" s="171"/>
    </row>
    <row r="128" spans="2:2" x14ac:dyDescent="0.15">
      <c r="B128" s="171"/>
    </row>
    <row r="129" spans="2:2" x14ac:dyDescent="0.15">
      <c r="B129" s="171"/>
    </row>
    <row r="130" spans="2:2" x14ac:dyDescent="0.15">
      <c r="B130" s="171"/>
    </row>
    <row r="131" spans="2:2" x14ac:dyDescent="0.15">
      <c r="B131" s="171"/>
    </row>
  </sheetData>
  <mergeCells count="4">
    <mergeCell ref="A1:B1"/>
    <mergeCell ref="A3:B3"/>
    <mergeCell ref="A6:B6"/>
    <mergeCell ref="A8:B8"/>
  </mergeCells>
  <hyperlinks>
    <hyperlink ref="B4" r:id="rId1" xr:uid="{00000000-0004-0000-0400-000000000000}"/>
  </hyperlinks>
  <pageMargins left="0.74791666666666701" right="0.74791666666666701" top="0.55000000000000004" bottom="0.57986111111111105" header="0.51180555555555496" footer="0.27013888888888898"/>
  <pageSetup firstPageNumber="0" fitToHeight="2" orientation="portrait" horizontalDpi="300" verticalDpi="300"/>
  <headerFooter>
    <oddFooter>&amp;L&amp;F - &amp;A&amp;C&amp;P&amp;RPrinted on &amp;D at &amp;T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AMJ27"/>
  <sheetViews>
    <sheetView showZeros="0" zoomScaleNormal="100" workbookViewId="0">
      <selection activeCellId="1" sqref="L13:L14 A1"/>
    </sheetView>
  </sheetViews>
  <sheetFormatPr baseColWidth="10" defaultColWidth="8.83203125" defaultRowHeight="13" x14ac:dyDescent="0.15"/>
  <cols>
    <col min="1" max="1" width="5.6640625" style="70" customWidth="1"/>
    <col min="2" max="2" width="150.6640625" style="70" customWidth="1"/>
    <col min="3" max="1024" width="8.83203125" style="70"/>
  </cols>
  <sheetData>
    <row r="1" spans="1:6" ht="15.75" customHeight="1" x14ac:dyDescent="0.15">
      <c r="A1" s="221" t="s">
        <v>186</v>
      </c>
      <c r="B1" s="221"/>
    </row>
    <row r="3" spans="1:6" ht="13.25" customHeight="1" x14ac:dyDescent="0.15">
      <c r="B3" s="159" t="s">
        <v>187</v>
      </c>
    </row>
    <row r="4" spans="1:6" ht="14" x14ac:dyDescent="0.15">
      <c r="A4" s="159"/>
      <c r="B4" s="161" t="s">
        <v>111</v>
      </c>
    </row>
    <row r="5" spans="1:6" x14ac:dyDescent="0.15">
      <c r="B5" s="172"/>
    </row>
    <row r="6" spans="1:6" ht="13" customHeight="1" x14ac:dyDescent="0.15">
      <c r="A6" s="114" t="s">
        <v>188</v>
      </c>
      <c r="B6" s="172"/>
    </row>
    <row r="7" spans="1:6" ht="37.5" customHeight="1" x14ac:dyDescent="0.15">
      <c r="B7" s="173" t="s">
        <v>189</v>
      </c>
    </row>
    <row r="8" spans="1:6" x14ac:dyDescent="0.15">
      <c r="B8" s="173"/>
    </row>
    <row r="9" spans="1:6" ht="37.5" customHeight="1" x14ac:dyDescent="0.15">
      <c r="B9" s="173" t="s">
        <v>190</v>
      </c>
    </row>
    <row r="10" spans="1:6" x14ac:dyDescent="0.15">
      <c r="B10" s="173"/>
    </row>
    <row r="11" spans="1:6" ht="25" customHeight="1" x14ac:dyDescent="0.15">
      <c r="B11" s="162" t="s">
        <v>191</v>
      </c>
    </row>
    <row r="12" spans="1:6" ht="15.75" customHeight="1" x14ac:dyDescent="0.15">
      <c r="B12" s="174" t="s">
        <v>192</v>
      </c>
      <c r="D12" s="175"/>
      <c r="E12" s="175"/>
      <c r="F12" s="175"/>
    </row>
    <row r="13" spans="1:6" ht="15.75" customHeight="1" x14ac:dyDescent="0.15">
      <c r="B13" s="162"/>
      <c r="C13" s="175"/>
      <c r="D13" s="175"/>
      <c r="E13" s="175"/>
      <c r="F13" s="175"/>
    </row>
    <row r="14" spans="1:6" ht="14" x14ac:dyDescent="0.15">
      <c r="B14" s="162" t="s">
        <v>193</v>
      </c>
    </row>
    <row r="16" spans="1:6" ht="25" customHeight="1" x14ac:dyDescent="0.15">
      <c r="B16" s="162" t="s">
        <v>194</v>
      </c>
    </row>
    <row r="18" spans="1:2" ht="13" customHeight="1" x14ac:dyDescent="0.15">
      <c r="B18" s="114" t="s">
        <v>195</v>
      </c>
    </row>
    <row r="19" spans="1:2" ht="13" customHeight="1" x14ac:dyDescent="0.15">
      <c r="B19" s="176" t="s">
        <v>196</v>
      </c>
    </row>
    <row r="20" spans="1:2" ht="25" customHeight="1" x14ac:dyDescent="0.15">
      <c r="B20" s="162" t="s">
        <v>197</v>
      </c>
    </row>
    <row r="21" spans="1:2" ht="25" customHeight="1" x14ac:dyDescent="0.15">
      <c r="B21" s="162" t="s">
        <v>198</v>
      </c>
    </row>
    <row r="22" spans="1:2" x14ac:dyDescent="0.15">
      <c r="B22" s="162"/>
    </row>
    <row r="23" spans="1:2" ht="13" customHeight="1" x14ac:dyDescent="0.15">
      <c r="A23" s="114" t="s">
        <v>199</v>
      </c>
      <c r="B23" s="162"/>
    </row>
    <row r="24" spans="1:2" ht="25" customHeight="1" x14ac:dyDescent="0.15">
      <c r="B24" s="173" t="s">
        <v>200</v>
      </c>
    </row>
    <row r="25" spans="1:2" x14ac:dyDescent="0.15">
      <c r="B25" s="173"/>
    </row>
    <row r="26" spans="1:2" ht="38.25" customHeight="1" x14ac:dyDescent="0.15">
      <c r="B26" s="173" t="s">
        <v>201</v>
      </c>
    </row>
    <row r="27" spans="1:2" x14ac:dyDescent="0.15">
      <c r="B27" s="173"/>
    </row>
  </sheetData>
  <mergeCells count="1">
    <mergeCell ref="A1:B1"/>
  </mergeCells>
  <hyperlinks>
    <hyperlink ref="B4" r:id="rId1" xr:uid="{00000000-0004-0000-0500-000000000000}"/>
    <hyperlink ref="B12" r:id="rId2" xr:uid="{00000000-0004-0000-0500-000001000000}"/>
  </hyperlinks>
  <pageMargins left="0.7" right="0.7" top="0.75" bottom="0.75"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6"/>
  <sheetViews>
    <sheetView showZeros="0" zoomScaleNormal="100" workbookViewId="0">
      <selection activeCell="H4" activeCellId="1" sqref="L13:L14 H4"/>
    </sheetView>
  </sheetViews>
  <sheetFormatPr baseColWidth="10" defaultColWidth="8.5" defaultRowHeight="13" x14ac:dyDescent="0.15"/>
  <sheetData>
    <row r="1" spans="1:14" x14ac:dyDescent="0.15">
      <c r="A1" s="177"/>
      <c r="B1" s="177"/>
      <c r="C1" s="177"/>
      <c r="D1" s="177"/>
      <c r="E1" s="177"/>
      <c r="F1" s="177"/>
      <c r="G1" s="177"/>
      <c r="H1" s="177"/>
      <c r="I1" s="177"/>
      <c r="J1" s="177"/>
      <c r="K1" s="177"/>
      <c r="L1" s="177"/>
      <c r="M1" s="177"/>
      <c r="N1" s="177"/>
    </row>
    <row r="2" spans="1:14" x14ac:dyDescent="0.15">
      <c r="A2" s="177"/>
      <c r="B2" s="177"/>
      <c r="C2" s="177"/>
      <c r="D2" s="177"/>
      <c r="E2" s="177"/>
      <c r="F2" s="177"/>
      <c r="G2" s="177"/>
      <c r="H2" s="177"/>
      <c r="I2" s="177"/>
      <c r="J2" s="177"/>
      <c r="K2" s="177"/>
      <c r="L2" s="177"/>
      <c r="M2" s="177"/>
      <c r="N2" s="177"/>
    </row>
    <row r="3" spans="1:14" x14ac:dyDescent="0.15">
      <c r="A3" s="177"/>
      <c r="B3" s="177"/>
      <c r="C3" s="177"/>
      <c r="D3" s="177"/>
      <c r="E3" s="177"/>
      <c r="F3" s="177"/>
      <c r="G3" s="177"/>
      <c r="H3" s="177"/>
      <c r="I3" s="177"/>
      <c r="J3" s="177"/>
      <c r="K3" s="177"/>
      <c r="L3" s="177"/>
      <c r="M3" s="177"/>
      <c r="N3" s="177"/>
    </row>
    <row r="4" spans="1:14" x14ac:dyDescent="0.15">
      <c r="A4" s="177"/>
      <c r="B4" s="177"/>
      <c r="C4" s="177"/>
      <c r="D4" s="177"/>
      <c r="E4" s="177"/>
      <c r="F4" s="177"/>
      <c r="G4" s="177"/>
      <c r="H4" s="177"/>
      <c r="I4" s="177"/>
      <c r="J4" s="177"/>
      <c r="K4" s="177"/>
      <c r="L4" s="177"/>
      <c r="M4" s="177"/>
      <c r="N4" s="177"/>
    </row>
    <row r="5" spans="1:14" x14ac:dyDescent="0.15">
      <c r="A5" s="177"/>
      <c r="B5" s="177"/>
      <c r="C5" s="177"/>
      <c r="D5" s="177"/>
      <c r="E5" s="177"/>
      <c r="F5" s="177"/>
      <c r="G5" s="177"/>
      <c r="H5" s="177"/>
      <c r="I5" s="177"/>
      <c r="J5" s="177"/>
      <c r="K5" s="177"/>
      <c r="L5" s="177"/>
      <c r="M5" s="177"/>
      <c r="N5" s="177"/>
    </row>
    <row r="6" spans="1:14" x14ac:dyDescent="0.15">
      <c r="A6" s="177"/>
      <c r="B6" s="177"/>
      <c r="C6" s="177"/>
      <c r="D6" s="177"/>
      <c r="E6" s="177"/>
      <c r="F6" s="177"/>
      <c r="G6" s="177"/>
      <c r="H6" s="177"/>
      <c r="I6" s="177"/>
      <c r="J6" s="177"/>
      <c r="K6" s="177"/>
      <c r="L6" s="177"/>
      <c r="M6" s="177"/>
      <c r="N6" s="177"/>
    </row>
    <row r="7" spans="1:14" x14ac:dyDescent="0.15">
      <c r="A7" s="177"/>
      <c r="B7" s="177"/>
      <c r="C7" s="177"/>
      <c r="D7" s="177"/>
      <c r="E7" s="177"/>
      <c r="F7" s="177"/>
      <c r="G7" s="177"/>
      <c r="H7" s="177"/>
      <c r="I7" s="177"/>
      <c r="J7" s="177"/>
      <c r="K7" s="177"/>
      <c r="L7" s="177"/>
      <c r="M7" s="177"/>
      <c r="N7" s="177"/>
    </row>
    <row r="8" spans="1:14" x14ac:dyDescent="0.15">
      <c r="A8" s="177"/>
      <c r="B8" s="177"/>
      <c r="C8" s="177"/>
      <c r="D8" s="177"/>
      <c r="E8" s="177"/>
      <c r="F8" s="177"/>
      <c r="G8" s="177"/>
      <c r="H8" s="177"/>
      <c r="I8" s="177"/>
      <c r="J8" s="177"/>
      <c r="K8" s="177"/>
      <c r="L8" s="177"/>
      <c r="M8" s="177"/>
      <c r="N8" s="177"/>
    </row>
    <row r="9" spans="1:14" x14ac:dyDescent="0.15">
      <c r="A9" s="177"/>
      <c r="B9" s="177"/>
      <c r="C9" s="177"/>
      <c r="D9" s="177"/>
      <c r="E9" s="177"/>
      <c r="F9" s="177"/>
      <c r="G9" s="177"/>
      <c r="H9" s="177"/>
      <c r="I9" s="177"/>
      <c r="J9" s="177"/>
      <c r="K9" s="177"/>
      <c r="L9" s="177"/>
      <c r="M9" s="177"/>
      <c r="N9" s="177"/>
    </row>
    <row r="10" spans="1:14" x14ac:dyDescent="0.15">
      <c r="A10" s="177"/>
      <c r="B10" s="177"/>
      <c r="C10" s="177"/>
      <c r="D10" s="177"/>
      <c r="E10" s="177"/>
      <c r="F10" s="177"/>
      <c r="G10" s="177"/>
      <c r="H10" s="177"/>
      <c r="I10" s="177"/>
      <c r="J10" s="177"/>
      <c r="K10" s="177"/>
      <c r="L10" s="177"/>
      <c r="M10" s="177"/>
      <c r="N10" s="177"/>
    </row>
    <row r="11" spans="1:14" x14ac:dyDescent="0.15">
      <c r="A11" s="177"/>
      <c r="B11" s="177"/>
      <c r="C11" s="177"/>
      <c r="D11" s="177"/>
      <c r="E11" s="177"/>
      <c r="F11" s="177"/>
      <c r="G11" s="177"/>
      <c r="H11" s="177"/>
      <c r="I11" s="177"/>
      <c r="J11" s="177"/>
      <c r="K11" s="177"/>
      <c r="L11" s="177"/>
      <c r="M11" s="177"/>
      <c r="N11" s="177"/>
    </row>
    <row r="12" spans="1:14" x14ac:dyDescent="0.15">
      <c r="A12" s="177"/>
      <c r="B12" s="177"/>
      <c r="C12" s="177"/>
      <c r="D12" s="177"/>
      <c r="E12" s="177"/>
      <c r="F12" s="177"/>
      <c r="G12" s="177"/>
      <c r="H12" s="177"/>
      <c r="I12" s="177"/>
      <c r="J12" s="177"/>
      <c r="K12" s="177"/>
      <c r="L12" s="177"/>
      <c r="M12" s="177"/>
      <c r="N12" s="177"/>
    </row>
    <row r="13" spans="1:14" x14ac:dyDescent="0.15">
      <c r="A13" s="177"/>
      <c r="B13" s="177"/>
      <c r="C13" s="177"/>
      <c r="D13" s="177"/>
      <c r="E13" s="177"/>
      <c r="F13" s="177"/>
      <c r="G13" s="177"/>
      <c r="H13" s="177"/>
      <c r="I13" s="177"/>
      <c r="J13" s="177"/>
      <c r="K13" s="177"/>
      <c r="L13" s="177"/>
      <c r="M13" s="177"/>
      <c r="N13" s="177"/>
    </row>
    <row r="14" spans="1:14" x14ac:dyDescent="0.15">
      <c r="A14" s="177"/>
      <c r="B14" s="177"/>
      <c r="C14" s="177"/>
      <c r="D14" s="177"/>
      <c r="E14" s="177"/>
      <c r="F14" s="177"/>
      <c r="G14" s="177"/>
      <c r="H14" s="177"/>
      <c r="I14" s="177"/>
      <c r="J14" s="177"/>
      <c r="K14" s="177"/>
      <c r="L14" s="177"/>
      <c r="M14" s="177"/>
      <c r="N14" s="177"/>
    </row>
    <row r="15" spans="1:14" x14ac:dyDescent="0.15">
      <c r="A15" s="177"/>
      <c r="B15" s="177"/>
      <c r="C15" s="177"/>
      <c r="D15" s="177"/>
      <c r="E15" s="177"/>
      <c r="F15" s="177"/>
      <c r="G15" s="177"/>
      <c r="H15" s="177"/>
      <c r="I15" s="177"/>
      <c r="J15" s="177"/>
      <c r="K15" s="177"/>
      <c r="L15" s="177"/>
      <c r="M15" s="177"/>
      <c r="N15" s="177"/>
    </row>
    <row r="16" spans="1:14" x14ac:dyDescent="0.15">
      <c r="A16" s="177"/>
      <c r="B16" s="177"/>
      <c r="C16" s="177"/>
      <c r="D16" s="177"/>
      <c r="E16" s="177"/>
      <c r="F16" s="177"/>
      <c r="G16" s="177"/>
      <c r="H16" s="177"/>
      <c r="I16" s="177"/>
      <c r="J16" s="177"/>
      <c r="K16" s="177"/>
      <c r="L16" s="177"/>
      <c r="M16" s="177"/>
      <c r="N16" s="177"/>
    </row>
    <row r="17" spans="1:14" x14ac:dyDescent="0.15">
      <c r="A17" s="177"/>
      <c r="B17" s="177"/>
      <c r="C17" s="177"/>
      <c r="D17" s="177"/>
      <c r="E17" s="177"/>
      <c r="F17" s="177"/>
      <c r="G17" s="177"/>
      <c r="H17" s="177"/>
      <c r="I17" s="177"/>
      <c r="J17" s="177"/>
      <c r="K17" s="177"/>
      <c r="L17" s="177"/>
      <c r="M17" s="177"/>
      <c r="N17" s="177"/>
    </row>
    <row r="18" spans="1:14" x14ac:dyDescent="0.15">
      <c r="A18" s="177"/>
      <c r="B18" s="177"/>
      <c r="C18" s="177"/>
      <c r="D18" s="177"/>
      <c r="E18" s="177"/>
      <c r="F18" s="177"/>
      <c r="G18" s="177"/>
      <c r="H18" s="177"/>
      <c r="I18" s="177"/>
      <c r="J18" s="177"/>
      <c r="K18" s="177"/>
      <c r="L18" s="177"/>
      <c r="M18" s="177"/>
      <c r="N18" s="177"/>
    </row>
    <row r="19" spans="1:14" x14ac:dyDescent="0.15">
      <c r="A19" s="177"/>
      <c r="B19" s="177"/>
      <c r="C19" s="177"/>
      <c r="D19" s="177"/>
      <c r="E19" s="177"/>
      <c r="F19" s="177"/>
      <c r="G19" s="177"/>
      <c r="H19" s="177"/>
      <c r="I19" s="177"/>
      <c r="J19" s="177"/>
      <c r="K19" s="177"/>
      <c r="L19" s="177"/>
      <c r="M19" s="177"/>
      <c r="N19" s="177"/>
    </row>
    <row r="20" spans="1:14" x14ac:dyDescent="0.15">
      <c r="A20" s="177"/>
      <c r="B20" s="177"/>
      <c r="C20" s="177"/>
      <c r="D20" s="177"/>
      <c r="E20" s="177"/>
      <c r="F20" s="177"/>
      <c r="G20" s="177"/>
      <c r="H20" s="177"/>
      <c r="I20" s="177"/>
      <c r="J20" s="177"/>
      <c r="K20" s="177"/>
      <c r="L20" s="177"/>
      <c r="M20" s="177"/>
      <c r="N20" s="177"/>
    </row>
    <row r="21" spans="1:14" x14ac:dyDescent="0.15">
      <c r="A21" s="177"/>
      <c r="B21" s="177"/>
      <c r="C21" s="177"/>
      <c r="D21" s="177"/>
      <c r="E21" s="177"/>
      <c r="F21" s="177"/>
      <c r="G21" s="177"/>
      <c r="H21" s="177"/>
      <c r="I21" s="177"/>
      <c r="J21" s="177"/>
      <c r="K21" s="177"/>
      <c r="L21" s="177"/>
      <c r="M21" s="177"/>
      <c r="N21" s="177"/>
    </row>
    <row r="22" spans="1:14" x14ac:dyDescent="0.15">
      <c r="A22" s="177"/>
      <c r="B22" s="177"/>
      <c r="C22" s="177"/>
      <c r="D22" s="177"/>
      <c r="E22" s="177"/>
      <c r="F22" s="177"/>
      <c r="G22" s="177"/>
      <c r="H22" s="177"/>
      <c r="I22" s="177"/>
      <c r="J22" s="177"/>
      <c r="K22" s="177"/>
      <c r="L22" s="177"/>
      <c r="M22" s="177"/>
      <c r="N22" s="177"/>
    </row>
    <row r="23" spans="1:14" x14ac:dyDescent="0.15">
      <c r="A23" s="177"/>
      <c r="B23" s="177"/>
      <c r="C23" s="177"/>
      <c r="D23" s="177"/>
      <c r="E23" s="177"/>
      <c r="F23" s="177"/>
      <c r="G23" s="177"/>
      <c r="H23" s="177"/>
      <c r="I23" s="177"/>
      <c r="J23" s="177"/>
      <c r="K23" s="177"/>
      <c r="L23" s="177"/>
      <c r="M23" s="177"/>
      <c r="N23" s="177"/>
    </row>
    <row r="24" spans="1:14" x14ac:dyDescent="0.15">
      <c r="A24" s="177"/>
      <c r="B24" s="177"/>
      <c r="C24" s="177"/>
      <c r="D24" s="177"/>
      <c r="E24" s="177"/>
      <c r="F24" s="177"/>
      <c r="G24" s="177"/>
      <c r="H24" s="177"/>
      <c r="I24" s="177"/>
      <c r="J24" s="177"/>
      <c r="K24" s="177"/>
      <c r="L24" s="177"/>
      <c r="M24" s="177"/>
      <c r="N24" s="177"/>
    </row>
    <row r="25" spans="1:14" x14ac:dyDescent="0.15">
      <c r="A25" s="177"/>
      <c r="B25" s="177"/>
      <c r="C25" s="177"/>
      <c r="D25" s="177"/>
      <c r="E25" s="177"/>
      <c r="F25" s="177"/>
      <c r="G25" s="177"/>
      <c r="H25" s="177"/>
      <c r="I25" s="177"/>
      <c r="J25" s="177"/>
      <c r="K25" s="177"/>
      <c r="L25" s="177"/>
      <c r="M25" s="177"/>
      <c r="N25" s="177"/>
    </row>
    <row r="26" spans="1:14" x14ac:dyDescent="0.15">
      <c r="A26" s="177"/>
      <c r="B26" s="177"/>
      <c r="C26" s="177"/>
      <c r="D26" s="177"/>
      <c r="E26" s="177"/>
      <c r="F26" s="177"/>
      <c r="G26" s="177"/>
      <c r="H26" s="177"/>
      <c r="I26" s="177"/>
      <c r="J26" s="177"/>
      <c r="K26" s="177"/>
      <c r="L26" s="177"/>
      <c r="M26" s="177"/>
      <c r="N26" s="177"/>
    </row>
    <row r="27" spans="1:14" x14ac:dyDescent="0.15">
      <c r="A27" s="177"/>
      <c r="B27" s="177"/>
      <c r="C27" s="177"/>
      <c r="D27" s="177"/>
      <c r="E27" s="177"/>
      <c r="F27" s="177"/>
      <c r="G27" s="177"/>
      <c r="H27" s="177"/>
      <c r="I27" s="177"/>
      <c r="J27" s="177"/>
      <c r="K27" s="177"/>
      <c r="L27" s="177"/>
      <c r="M27" s="177"/>
      <c r="N27" s="177"/>
    </row>
    <row r="28" spans="1:14" x14ac:dyDescent="0.15">
      <c r="A28" s="177"/>
      <c r="B28" s="177"/>
      <c r="C28" s="177"/>
      <c r="D28" s="177"/>
      <c r="E28" s="177"/>
      <c r="F28" s="177"/>
      <c r="G28" s="177"/>
      <c r="H28" s="177"/>
      <c r="I28" s="177"/>
      <c r="J28" s="177"/>
      <c r="K28" s="177"/>
      <c r="L28" s="177"/>
      <c r="M28" s="177"/>
      <c r="N28" s="177"/>
    </row>
    <row r="29" spans="1:14" x14ac:dyDescent="0.15">
      <c r="A29" s="177"/>
      <c r="B29" s="177"/>
      <c r="C29" s="177"/>
      <c r="D29" s="177"/>
      <c r="E29" s="177"/>
      <c r="F29" s="177"/>
      <c r="G29" s="177"/>
      <c r="H29" s="177"/>
      <c r="I29" s="177"/>
      <c r="J29" s="177"/>
      <c r="K29" s="177"/>
      <c r="L29" s="177"/>
      <c r="M29" s="177"/>
      <c r="N29" s="177"/>
    </row>
    <row r="30" spans="1:14" x14ac:dyDescent="0.15">
      <c r="A30" s="177"/>
      <c r="B30" s="177"/>
      <c r="C30" s="177"/>
      <c r="D30" s="177"/>
      <c r="E30" s="177"/>
      <c r="F30" s="177"/>
      <c r="G30" s="177"/>
      <c r="H30" s="177"/>
      <c r="I30" s="177"/>
      <c r="J30" s="177"/>
      <c r="K30" s="177"/>
      <c r="L30" s="177"/>
      <c r="M30" s="177"/>
      <c r="N30" s="177"/>
    </row>
    <row r="31" spans="1:14" x14ac:dyDescent="0.15">
      <c r="A31" s="177"/>
      <c r="B31" s="177"/>
      <c r="C31" s="177"/>
      <c r="D31" s="177"/>
      <c r="E31" s="177"/>
      <c r="F31" s="177"/>
      <c r="G31" s="177"/>
      <c r="H31" s="177"/>
      <c r="I31" s="177"/>
      <c r="J31" s="177"/>
      <c r="K31" s="177"/>
      <c r="L31" s="177"/>
      <c r="M31" s="177"/>
      <c r="N31" s="177"/>
    </row>
    <row r="32" spans="1:14" x14ac:dyDescent="0.15">
      <c r="A32" s="177"/>
      <c r="B32" s="177"/>
      <c r="C32" s="177"/>
      <c r="D32" s="177"/>
      <c r="E32" s="177"/>
      <c r="F32" s="177"/>
      <c r="G32" s="177"/>
      <c r="H32" s="177"/>
      <c r="I32" s="177"/>
      <c r="J32" s="177"/>
      <c r="K32" s="177"/>
      <c r="L32" s="177"/>
      <c r="M32" s="177"/>
      <c r="N32" s="177"/>
    </row>
    <row r="33" spans="1:14" x14ac:dyDescent="0.15">
      <c r="A33" s="177"/>
      <c r="B33" s="177"/>
      <c r="C33" s="177"/>
      <c r="D33" s="177"/>
      <c r="E33" s="177"/>
      <c r="F33" s="177"/>
      <c r="G33" s="177"/>
      <c r="H33" s="177"/>
      <c r="I33" s="177"/>
      <c r="J33" s="177"/>
      <c r="K33" s="177"/>
      <c r="L33" s="177"/>
      <c r="M33" s="177"/>
      <c r="N33" s="177"/>
    </row>
    <row r="34" spans="1:14" x14ac:dyDescent="0.15">
      <c r="A34" s="177"/>
      <c r="B34" s="177"/>
      <c r="C34" s="177"/>
      <c r="D34" s="177"/>
      <c r="E34" s="177"/>
      <c r="F34" s="177"/>
      <c r="G34" s="177"/>
      <c r="H34" s="177"/>
      <c r="I34" s="177"/>
      <c r="J34" s="177"/>
      <c r="K34" s="177"/>
      <c r="L34" s="177"/>
      <c r="M34" s="177"/>
      <c r="N34" s="177"/>
    </row>
    <row r="35" spans="1:14" x14ac:dyDescent="0.15">
      <c r="A35" s="177"/>
      <c r="B35" s="177"/>
      <c r="C35" s="177"/>
      <c r="D35" s="177"/>
      <c r="E35" s="177"/>
      <c r="F35" s="177"/>
      <c r="G35" s="177"/>
      <c r="H35" s="177"/>
      <c r="I35" s="177"/>
      <c r="J35" s="177"/>
      <c r="K35" s="177"/>
      <c r="L35" s="177"/>
      <c r="M35" s="177"/>
      <c r="N35" s="177"/>
    </row>
    <row r="36" spans="1:14" x14ac:dyDescent="0.15">
      <c r="A36" s="177"/>
      <c r="B36" s="177"/>
      <c r="C36" s="177"/>
      <c r="D36" s="177"/>
      <c r="E36" s="177"/>
      <c r="F36" s="177"/>
      <c r="G36" s="177"/>
      <c r="H36" s="177"/>
      <c r="I36" s="177"/>
      <c r="J36" s="177"/>
      <c r="K36" s="177"/>
      <c r="L36" s="177"/>
      <c r="M36" s="177"/>
      <c r="N36" s="177"/>
    </row>
  </sheetData>
  <pageMargins left="0.75" right="0.75" top="0.86111111111111105" bottom="0.72222222222222199" header="0.51180555555555496" footer="0.51180555555555496"/>
  <pageSetup paperSize="9" firstPageNumber="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Zeros="0" zoomScaleNormal="100" workbookViewId="0">
      <selection activeCellId="1" sqref="L13:L14 A1"/>
    </sheetView>
  </sheetViews>
  <sheetFormatPr baseColWidth="10" defaultColWidth="8.5" defaultRowHeight="13" x14ac:dyDescent="0.15"/>
  <sheetData/>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15</TotalTime>
  <Application>Microsoft Macintosh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Expense Claim Form </vt:lpstr>
      <vt:lpstr>Expense Form Extra Rows</vt:lpstr>
      <vt:lpstr>Mileage Detail</vt:lpstr>
      <vt:lpstr>Mileage Detail Extra Rows</vt:lpstr>
      <vt:lpstr>Instructions OLD</vt:lpstr>
      <vt:lpstr>Mileage Claim Guide OLD</vt:lpstr>
      <vt:lpstr>Help</vt:lpstr>
      <vt:lpstr>Module1</vt:lpstr>
      <vt:lpstr>'Expense Form Extra Rows'!Expense_codes</vt:lpstr>
      <vt:lpstr>Expense_codes</vt:lpstr>
      <vt:lpstr>'Expense Claim Form '!Print_Area</vt:lpstr>
      <vt:lpstr>'Expense Form Extra Rows'!Print_Area</vt:lpstr>
      <vt:lpstr>'Instructions OLD'!Print_Area</vt:lpstr>
      <vt:lpstr>'Mileage Detail'!Print_Area</vt:lpstr>
      <vt:lpstr>'Mileage Detail Extra Rows'!Print_Area</vt:lpstr>
      <vt:lpstr>'Expense Claim Form '!sub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Alan Clarke</dc:creator>
  <dc:description/>
  <cp:lastModifiedBy>JamesFleming, Ross</cp:lastModifiedBy>
  <cp:revision>6</cp:revision>
  <cp:lastPrinted>2019-12-08T23:06:41Z</cp:lastPrinted>
  <dcterms:created xsi:type="dcterms:W3CDTF">2000-02-02T16:14:39Z</dcterms:created>
  <dcterms:modified xsi:type="dcterms:W3CDTF">2026-01-21T21:55:51Z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